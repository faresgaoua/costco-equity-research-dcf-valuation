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 16" sheetId="1" r:id="rId4"/>
    <sheet state="visible" name="Trend Analysis" sheetId="2" r:id="rId5"/>
    <sheet state="visible" name="Industry ROE" sheetId="3" r:id="rId6"/>
    <sheet state="visible" name="WACC" sheetId="4" r:id="rId7"/>
    <sheet state="visible" name="FCFF" sheetId="5" r:id="rId8"/>
    <sheet state="visible" name="Bottom-up Beta &amp; CRP" sheetId="6" r:id="rId9"/>
    <sheet state="visible" name="TV &amp; EV" sheetId="7" r:id="rId10"/>
    <sheet state="visible" name="Sensitivity " sheetId="8" r:id="rId11"/>
    <sheet state="visible" name="Operating Leverage" sheetId="9" r:id="rId12"/>
    <sheet state="visible" name="Market concentration" sheetId="10" r:id="rId13"/>
    <sheet state="visible" name="Membership Sample - Presentatio" sheetId="11"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8">
      <text>
        <t xml:space="preserve">Turnover ratios are computed using Net Sales rather than total revenues because these metrics assess how efficiently tangible assets generate merchandise sales.
Membership fees, while a stable source of operating income, are not tied to inventory or physical asset usage and are therefore excluded from the numerator for turnover analysis but included in the valuation stage (FCFF).
	-Fares Gaoua</t>
      </text>
    </comment>
  </commentList>
</comments>
</file>

<file path=xl/sharedStrings.xml><?xml version="1.0" encoding="utf-8"?>
<sst xmlns="http://schemas.openxmlformats.org/spreadsheetml/2006/main" count="934" uniqueCount="467">
  <si>
    <t>DATA FROM 10K FILING (IN MILLIONS)</t>
  </si>
  <si>
    <t>YEAR</t>
  </si>
  <si>
    <t>FIXED ASSET</t>
  </si>
  <si>
    <t>INVENTORY</t>
  </si>
  <si>
    <t xml:space="preserve">ACCOUNTS RECEIVABLE </t>
  </si>
  <si>
    <t>TOTAL ASSET</t>
  </si>
  <si>
    <t>COST OF GOOD SOLD</t>
  </si>
  <si>
    <t>TOTAL SALES (INCLUDING MEMBERSHIP FEE)</t>
  </si>
  <si>
    <t>EBIT (OPERATING INCOME)</t>
  </si>
  <si>
    <t>NET SALES</t>
  </si>
  <si>
    <t>GROSS PROFIT</t>
  </si>
  <si>
    <t xml:space="preserve">INTEREST EXPENSE </t>
  </si>
  <si>
    <t>INTEREST INCOME</t>
  </si>
  <si>
    <t>INCOME BEFORE INCOME TAX</t>
  </si>
  <si>
    <t xml:space="preserve">NET INCOME </t>
  </si>
  <si>
    <t>TOTAL STOCKHOLDER EQUITY</t>
  </si>
  <si>
    <t>TOTAL DEBT</t>
  </si>
  <si>
    <t>CASH EQUIVALENT</t>
  </si>
  <si>
    <t>SHORT TERM INVESTMENTS</t>
  </si>
  <si>
    <t>INVESTED CAPITAL</t>
  </si>
  <si>
    <t>Tax rate</t>
  </si>
  <si>
    <t>NOPAT</t>
  </si>
  <si>
    <t>QUESTION 16 A)</t>
  </si>
  <si>
    <t>ANALYZE THE COMPANY'S PROFITABILITY</t>
  </si>
  <si>
    <t>ROA:</t>
  </si>
  <si>
    <t>ROA = NET INCOME/ AVERAGE TOTAL ASSETS</t>
  </si>
  <si>
    <t>QUESTION 16 PART C)</t>
  </si>
  <si>
    <t>i) ROE (5 FACTOR DUPONT) :</t>
  </si>
  <si>
    <t>SAMPLE</t>
  </si>
  <si>
    <t>NET INCOME</t>
  </si>
  <si>
    <t>INCOME BEFORE TAX</t>
  </si>
  <si>
    <t>SALES</t>
  </si>
  <si>
    <t>AVERAGE TOTAL ASSETS</t>
  </si>
  <si>
    <t>AVERAGE TOTAL EQUITY</t>
  </si>
  <si>
    <t>EBIT</t>
  </si>
  <si>
    <t>Current asset</t>
  </si>
  <si>
    <t>Current liabilities</t>
  </si>
  <si>
    <t>DuPont Analysis</t>
  </si>
  <si>
    <t>COSTCO</t>
  </si>
  <si>
    <t>INDUSTRY (Small sample)</t>
  </si>
  <si>
    <t>WMT US Equity</t>
  </si>
  <si>
    <t>NET INCOME/ INCOME BEFORE TAX</t>
  </si>
  <si>
    <t>TGT US Equity</t>
  </si>
  <si>
    <t>INCOME BEFORE TAX/ EBIT</t>
  </si>
  <si>
    <t>EBIT/SALES</t>
  </si>
  <si>
    <t>DLTR US Equity</t>
  </si>
  <si>
    <t>SALES/ TOTAL AVERAGE ASSETS</t>
  </si>
  <si>
    <t>L CN Equity</t>
  </si>
  <si>
    <t>AVERAGE TOTAL ASSETS/ AVERAGE EQUITY</t>
  </si>
  <si>
    <t>KR US Equity</t>
  </si>
  <si>
    <t>ACI US Equity</t>
  </si>
  <si>
    <t>ROE:</t>
  </si>
  <si>
    <t>BJ US Equity</t>
  </si>
  <si>
    <t>EVA:</t>
  </si>
  <si>
    <t>current ratio</t>
  </si>
  <si>
    <t>cash ratio</t>
  </si>
  <si>
    <t>ROE</t>
  </si>
  <si>
    <t>Interest coverage ratio</t>
  </si>
  <si>
    <t>NET INCOME/INCOME BEFORE TAX</t>
  </si>
  <si>
    <t>ii) TURNOVER RATIOS</t>
  </si>
  <si>
    <t xml:space="preserve">TOTAL ASSET TURNOVER </t>
  </si>
  <si>
    <t>FIXED ASSET TURNOVER</t>
  </si>
  <si>
    <t>INVENTORY TURNOVER</t>
  </si>
  <si>
    <t>iii) Profitability of sales</t>
  </si>
  <si>
    <t>AVERAGE</t>
  </si>
  <si>
    <t>GROSS PROFIT MARGIN</t>
  </si>
  <si>
    <t xml:space="preserve">OPERATING PROFIT MARGIN </t>
  </si>
  <si>
    <t>NET PROFIT MARGIN</t>
  </si>
  <si>
    <t>comparison using a small</t>
  </si>
  <si>
    <t>Question 16 b)</t>
  </si>
  <si>
    <t>sample</t>
  </si>
  <si>
    <t>Cash</t>
  </si>
  <si>
    <t>Short term investments</t>
  </si>
  <si>
    <t>Receivables net</t>
  </si>
  <si>
    <t>Merchandise Inventory</t>
  </si>
  <si>
    <t>Other Current assets</t>
  </si>
  <si>
    <t>Total Current Assets</t>
  </si>
  <si>
    <t>A/P</t>
  </si>
  <si>
    <t>Accrued Salaries and Benefits</t>
  </si>
  <si>
    <t>Accrued Member reward</t>
  </si>
  <si>
    <t>Deferred membership fee</t>
  </si>
  <si>
    <t>Other Current Liabilities</t>
  </si>
  <si>
    <t>industry comparison with a bigger sample (data obtained from Bloomberg)</t>
  </si>
  <si>
    <t>Total Current Liabilities</t>
  </si>
  <si>
    <t>i)</t>
  </si>
  <si>
    <t xml:space="preserve"> </t>
  </si>
  <si>
    <t>DSCR</t>
  </si>
  <si>
    <t>DEPRECIATION AND AMORTIZATION = 2426, REPAYMENT OF LONG TERM DEBT IS 103</t>
  </si>
  <si>
    <t>Interest Coverage ratio</t>
  </si>
  <si>
    <t>Debt to equity ratio</t>
  </si>
  <si>
    <t>Debt ratio</t>
  </si>
  <si>
    <t>Debt to capital Ratio</t>
  </si>
  <si>
    <t>AD NA Equity</t>
  </si>
  <si>
    <t>WOW AU Equity</t>
  </si>
  <si>
    <t>ii)</t>
  </si>
  <si>
    <t>139480 KS Equity</t>
  </si>
  <si>
    <t>Total Liability</t>
  </si>
  <si>
    <t>WES AU Equity</t>
  </si>
  <si>
    <t>Stockholder Equity</t>
  </si>
  <si>
    <t>CENCOSUD CI Equity</t>
  </si>
  <si>
    <t>Current ratio</t>
  </si>
  <si>
    <t>PCOPLN EU Equity</t>
  </si>
  <si>
    <t>quick ratio</t>
  </si>
  <si>
    <t>EMP/A CN Equity</t>
  </si>
  <si>
    <t>TSCO LN Equity</t>
  </si>
  <si>
    <t>Non Cash Working Capital</t>
  </si>
  <si>
    <t>SBRY LN Equity</t>
  </si>
  <si>
    <t>JMT PL Equity</t>
  </si>
  <si>
    <t>DIA SM Equity</t>
  </si>
  <si>
    <t>AXFO SS Equity</t>
  </si>
  <si>
    <t xml:space="preserve">ROIC </t>
  </si>
  <si>
    <t>DNP PW Equity</t>
  </si>
  <si>
    <t xml:space="preserve">All in thousands </t>
  </si>
  <si>
    <t>COLR BB Equity</t>
  </si>
  <si>
    <t>After-tax OI</t>
  </si>
  <si>
    <t>SON PL Equity</t>
  </si>
  <si>
    <t xml:space="preserve">Reinvestment </t>
  </si>
  <si>
    <t>8267 JT Equity</t>
  </si>
  <si>
    <t xml:space="preserve">Reinvestment Rate </t>
  </si>
  <si>
    <t>7532 JP Equity</t>
  </si>
  <si>
    <t>023530 KS Equity</t>
  </si>
  <si>
    <t xml:space="preserve">Adjusted book value of debt </t>
  </si>
  <si>
    <t>from wacc</t>
  </si>
  <si>
    <t>CRC TB Equity</t>
  </si>
  <si>
    <t xml:space="preserve">Book value of Equity </t>
  </si>
  <si>
    <t>10-k balance sheet</t>
  </si>
  <si>
    <t>6808 HK Equity</t>
  </si>
  <si>
    <t>Excess Cash</t>
  </si>
  <si>
    <t>601933 CH Equity</t>
  </si>
  <si>
    <t>Invested capital</t>
  </si>
  <si>
    <t>COL AU Equity</t>
  </si>
  <si>
    <t>MTS AU Equity</t>
  </si>
  <si>
    <t>ROIC</t>
  </si>
  <si>
    <t>WALMEX* MM Equity</t>
  </si>
  <si>
    <t>SORIANAB MM Equity</t>
  </si>
  <si>
    <t>EXITO CB Equity</t>
  </si>
  <si>
    <t>ROST US Equity</t>
  </si>
  <si>
    <t>TJX US Equity</t>
  </si>
  <si>
    <t>BURL US Equity</t>
  </si>
  <si>
    <t>GO US Equity</t>
  </si>
  <si>
    <t>IMKTA US Equity</t>
  </si>
  <si>
    <t>WMK US Equity</t>
  </si>
  <si>
    <t>SPTN US Equity</t>
  </si>
  <si>
    <t>BIMAS TI Equity</t>
  </si>
  <si>
    <t>MGROS TI Equity</t>
  </si>
  <si>
    <t>PCO PW Equity</t>
  </si>
  <si>
    <t>KESKOB FH Equity</t>
  </si>
  <si>
    <t>CRFB3 BZ Equity</t>
  </si>
  <si>
    <t>CHDRAUIB MM Equity</t>
  </si>
  <si>
    <t>LACOMUBC MM Equity</t>
  </si>
  <si>
    <t>CA FP Equity</t>
  </si>
  <si>
    <t>BGFV US Equity</t>
  </si>
  <si>
    <t>SFM US Equity</t>
  </si>
  <si>
    <t>#N/A N/A</t>
  </si>
  <si>
    <t>INDUSTRY</t>
  </si>
  <si>
    <t>Date</t>
  </si>
  <si>
    <t>Adj Close</t>
  </si>
  <si>
    <t xml:space="preserve">Ln Price </t>
  </si>
  <si>
    <t>Monthly Log Returns</t>
  </si>
  <si>
    <t xml:space="preserve"># of Observations </t>
  </si>
  <si>
    <t>Inputs</t>
  </si>
  <si>
    <t>Mean monthly return (μ_monthly)</t>
  </si>
  <si>
    <t xml:space="preserve"> Last Price P₀</t>
  </si>
  <si>
    <t>Annual Drift μ</t>
  </si>
  <si>
    <t>Annual Volatility σ</t>
  </si>
  <si>
    <t>Forecast Horizon (Years)</t>
  </si>
  <si>
    <t>Number of Steps</t>
  </si>
  <si>
    <t>Monthly Volatility</t>
  </si>
  <si>
    <t>Annual Drift  μ</t>
  </si>
  <si>
    <t>Bull Market</t>
  </si>
  <si>
    <t>Last Price P0</t>
  </si>
  <si>
    <t>https://finance.yahoo.com/quote/COST/</t>
  </si>
  <si>
    <t>Bear Market</t>
  </si>
  <si>
    <t xml:space="preserve">Forecast </t>
  </si>
  <si>
    <t>BULL</t>
  </si>
  <si>
    <t>BEAR</t>
  </si>
  <si>
    <t>Time (Years)</t>
  </si>
  <si>
    <t>Forecasted Price</t>
  </si>
  <si>
    <t>IBISWorld Report - Info</t>
  </si>
  <si>
    <t>https://my-ibisworld-com.lib-ezproxy.concordia.ca/us/en/industry/45291/at-a-glance</t>
  </si>
  <si>
    <t xml:space="preserve">3-year average </t>
  </si>
  <si>
    <t>5-year average</t>
  </si>
  <si>
    <t xml:space="preserve">10-year average </t>
  </si>
  <si>
    <t>Return in Net Worth (ROE) in %</t>
  </si>
  <si>
    <t xml:space="preserve">Revenue growth: </t>
  </si>
  <si>
    <t>2020–2025 CAGR</t>
  </si>
  <si>
    <t>2025–2030 CAGR: 2.0% → slower growth reflecting mature market conditions.</t>
  </si>
  <si>
    <t>GDP growth - USD</t>
  </si>
  <si>
    <t>Q1-2026</t>
  </si>
  <si>
    <t xml:space="preserve">CAGR of GDP </t>
  </si>
  <si>
    <t>Q1-2031</t>
  </si>
  <si>
    <t>n (years)</t>
  </si>
  <si>
    <r>
      <rPr>
        <rFont val="Arial"/>
      </rPr>
      <t xml:space="preserve">data from: </t>
    </r>
    <r>
      <rPr>
        <rFont val="Arial"/>
        <color rgb="FF1155CC"/>
        <u/>
      </rPr>
      <t>https://fred.stlouisfed.org/series/GDPPOT</t>
    </r>
  </si>
  <si>
    <t>Cost of Debt</t>
  </si>
  <si>
    <t>Marginal Tax Rate</t>
  </si>
  <si>
    <t>on yahoo: tax provision/pretax income = 2,719,000/10,818,000</t>
  </si>
  <si>
    <t xml:space="preserve">Risk free rate </t>
  </si>
  <si>
    <t>CNBC US 10Y Treasury  as of Nov 12 2025</t>
  </si>
  <si>
    <t>Company Default spread</t>
  </si>
  <si>
    <t>As of Tues, Nov 11 2025</t>
  </si>
  <si>
    <t>https://fred.stlouisfed.org/series/BAMLC0A2CAA#:~:text=Rates%20%3E%20Corporate%20Bonds-,ICE%20BofA%20AA%20US%20Corporate%20Index%20Option%2DAdjusted%20Spread%20(BAMLC0A2CAA,Release%20Date:%20Nov%2011%2C%202025</t>
  </si>
  <si>
    <t>Country Default Spread</t>
  </si>
  <si>
    <t>AA Rating --&gt;</t>
  </si>
  <si>
    <t>https://dbrs.morningstar.com/research/424815/costco-wholesale-corporation-rating-report</t>
  </si>
  <si>
    <t xml:space="preserve">pre-tax Cost of Debt  </t>
  </si>
  <si>
    <t>Cost of Equity</t>
  </si>
  <si>
    <t>CRP</t>
  </si>
  <si>
    <t>Beta</t>
  </si>
  <si>
    <t>Mature ERP</t>
  </si>
  <si>
    <t>Cost of equity</t>
  </si>
  <si>
    <t>https://pages.stern.nyu.edu/~adamodar/New_Home_Page/datafile/ctryprem.html</t>
  </si>
  <si>
    <t>Market Value of Equity</t>
  </si>
  <si>
    <t>Stock Price</t>
  </si>
  <si>
    <t>Shares Outstanding</t>
  </si>
  <si>
    <t>Market Value of Debt</t>
  </si>
  <si>
    <t>Book value of debt</t>
  </si>
  <si>
    <t>Interest expense</t>
  </si>
  <si>
    <t>Costco 10k</t>
  </si>
  <si>
    <t>https://d18rn0p25nwr6d.cloudfront.net/CIK-0000909832/1d2e9494-f590-4908-8d5f-dac2a6a3f51d.pdf</t>
  </si>
  <si>
    <t>PMT (interest expense)</t>
  </si>
  <si>
    <t>Bond (Coupon)</t>
  </si>
  <si>
    <t>Age to maturity (years)</t>
  </si>
  <si>
    <t>FV (BV of debt)</t>
  </si>
  <si>
    <t>N</t>
  </si>
  <si>
    <t>I/Y (cost of debt)</t>
  </si>
  <si>
    <r>
      <rPr>
        <rFont val="Arial"/>
        <b/>
        <color theme="1"/>
      </rPr>
      <t xml:space="preserve">MV of Debt </t>
    </r>
    <r>
      <rPr>
        <rFont val="Arial"/>
        <b/>
        <color theme="1"/>
      </rPr>
      <t>(PV of above)</t>
    </r>
  </si>
  <si>
    <t>PV of Operating Lease</t>
  </si>
  <si>
    <t>Average</t>
  </si>
  <si>
    <t>MV of Debt (Adjusting for OL)</t>
  </si>
  <si>
    <t>WACC (Adjusted for OL)</t>
  </si>
  <si>
    <t>MV Equity</t>
  </si>
  <si>
    <t>MV Debt</t>
  </si>
  <si>
    <t>WACC Adjusted for OL</t>
  </si>
  <si>
    <t>**We used a WACC of 6.052% for the TV and EV because we made minor changes to the wacc but everything was already made with the value of 6.052%</t>
  </si>
  <si>
    <t>Membership sample</t>
  </si>
  <si>
    <t>Overridable Raw Beta</t>
  </si>
  <si>
    <t>Current Market Cap</t>
  </si>
  <si>
    <t>Long Term Debt</t>
  </si>
  <si>
    <t>Short Term Debt</t>
  </si>
  <si>
    <t>D/E Ratio</t>
  </si>
  <si>
    <t>AAPL US Equity</t>
  </si>
  <si>
    <t>NFLX US Equity</t>
  </si>
  <si>
    <t>AMZN US Equity</t>
  </si>
  <si>
    <t>SPOT US Equity</t>
  </si>
  <si>
    <t>PLNT US Equity</t>
  </si>
  <si>
    <t>MSFT US Equity</t>
  </si>
  <si>
    <t>DBX US Equity</t>
  </si>
  <si>
    <t>SAP US Equity</t>
  </si>
  <si>
    <t>UBER US Equity</t>
  </si>
  <si>
    <t>ADBE US Equity</t>
  </si>
  <si>
    <t>DIS US Equity</t>
  </si>
  <si>
    <t>GOOGL US Equity</t>
  </si>
  <si>
    <t>LTH US Equity</t>
  </si>
  <si>
    <t>PTON US Equity</t>
  </si>
  <si>
    <t>CRM US Equity</t>
  </si>
  <si>
    <t>ZM US Equity</t>
  </si>
  <si>
    <t>Adjustment R&amp;D</t>
  </si>
  <si>
    <t>None</t>
  </si>
  <si>
    <t>Company</t>
  </si>
  <si>
    <t>Effective Tax Rate</t>
  </si>
  <si>
    <t>INCOME TAX</t>
  </si>
  <si>
    <t>INCOME BEOFRE INCOME TAX</t>
  </si>
  <si>
    <t>INCOME TAX (BEFORE DEFERRALS)</t>
  </si>
  <si>
    <t xml:space="preserve">Current Year FCFF - Costco Wholesale </t>
  </si>
  <si>
    <t>Costco</t>
  </si>
  <si>
    <t>(amounts in thousands)</t>
  </si>
  <si>
    <t>https://ca.finance.yahoo.com/quote/COST/financials/</t>
  </si>
  <si>
    <t>Current Operational Lease expense</t>
  </si>
  <si>
    <t>Life of the Operational Lease</t>
  </si>
  <si>
    <t>Unadjusted Book Value of Debt</t>
  </si>
  <si>
    <t>Current R&amp;D Expense</t>
  </si>
  <si>
    <t>Amortizable Life for the R&amp;D</t>
  </si>
  <si>
    <t>Adjusted EBIT (Due to OL &amp; R&amp;D)</t>
  </si>
  <si>
    <t>Final Adjustment on EBIT (1-T)</t>
  </si>
  <si>
    <t>capex</t>
  </si>
  <si>
    <t>Capital expenditure</t>
  </si>
  <si>
    <t>Operation Lease Adjustment - 2025</t>
  </si>
  <si>
    <t>Depreciation &amp; Amortization</t>
  </si>
  <si>
    <t>Adjustement on CapEx</t>
  </si>
  <si>
    <t>Inventory n-1</t>
  </si>
  <si>
    <t>Inventory n</t>
  </si>
  <si>
    <t>A/R n-1</t>
  </si>
  <si>
    <t>As of August 31, 2025, future minimum payments during the next five fiscal years and thereafter are as follows</t>
  </si>
  <si>
    <t>A/R n</t>
  </si>
  <si>
    <t>A/P n-1</t>
  </si>
  <si>
    <t>A/P n</t>
  </si>
  <si>
    <t>Non Cash NWC n-1</t>
  </si>
  <si>
    <t>Non Cash NWC n</t>
  </si>
  <si>
    <t>change in NWC</t>
  </si>
  <si>
    <t>FCFF</t>
  </si>
  <si>
    <t>Depreciation of OL</t>
  </si>
  <si>
    <t xml:space="preserve">Industry Bottom-up Beta Sample (shortened) </t>
  </si>
  <si>
    <t>Revenue Weighted CRP</t>
  </si>
  <si>
    <t>Finding Weights of international countries using number of stores as a reference</t>
  </si>
  <si>
    <t>Ticker</t>
  </si>
  <si>
    <t>Net Debt</t>
  </si>
  <si>
    <t>Total Equity</t>
  </si>
  <si>
    <t>net D/E</t>
  </si>
  <si>
    <t>Country</t>
  </si>
  <si>
    <t xml:space="preserve">CDS </t>
  </si>
  <si>
    <t>Weight (revenue)</t>
  </si>
  <si>
    <t>Weighted CRP</t>
  </si>
  <si>
    <t># of stores</t>
  </si>
  <si>
    <t>Int Weight</t>
  </si>
  <si>
    <t>Weight</t>
  </si>
  <si>
    <t>United states</t>
  </si>
  <si>
    <t>Canada</t>
  </si>
  <si>
    <t>Mexico</t>
  </si>
  <si>
    <t>DG US Equity</t>
  </si>
  <si>
    <t>Japan</t>
  </si>
  <si>
    <t>The United Kingdom</t>
  </si>
  <si>
    <t>FIVE US Equity</t>
  </si>
  <si>
    <t>South Korea</t>
  </si>
  <si>
    <t>OLLI US Equity</t>
  </si>
  <si>
    <t>Australia</t>
  </si>
  <si>
    <t>PSMT US Equity</t>
  </si>
  <si>
    <t>Taiwan</t>
  </si>
  <si>
    <t>China</t>
  </si>
  <si>
    <t>MRU CN Equity</t>
  </si>
  <si>
    <t>Spain</t>
  </si>
  <si>
    <t>France</t>
  </si>
  <si>
    <t>New Zealand</t>
  </si>
  <si>
    <t>Sweden</t>
  </si>
  <si>
    <t>Iceland</t>
  </si>
  <si>
    <t>Total</t>
  </si>
  <si>
    <t>International Sum</t>
  </si>
  <si>
    <t>N/A</t>
  </si>
  <si>
    <t>Costco reported Revenue Weights</t>
  </si>
  <si>
    <t>Regions</t>
  </si>
  <si>
    <t>US</t>
  </si>
  <si>
    <t>Other</t>
  </si>
  <si>
    <t>Industry</t>
  </si>
  <si>
    <t>Average Beta</t>
  </si>
  <si>
    <t>Average D/E</t>
  </si>
  <si>
    <t>Unlevered Beta</t>
  </si>
  <si>
    <t>Sales</t>
  </si>
  <si>
    <t>Membership</t>
  </si>
  <si>
    <t>BV Net Debt</t>
  </si>
  <si>
    <t>BV Equity</t>
  </si>
  <si>
    <t>Costco Net D/E</t>
  </si>
  <si>
    <t>Tax Rate</t>
  </si>
  <si>
    <t>Levered Beta</t>
  </si>
  <si>
    <t>Growth Rate</t>
  </si>
  <si>
    <t>Expected Growth Rate = Reinvestment Rate * Return on Capital</t>
  </si>
  <si>
    <t>Reinvestment Rate = (Net Capital Expenditure + Change in Non-Cash Working Capital) / After-Tax Operating Income</t>
  </si>
  <si>
    <t>Return on Capital (ROC) = After-Tax Operating Income / (Book Value of Debt + Book Value of Equity - Cash)</t>
  </si>
  <si>
    <t xml:space="preserve">Expected Growth Rate </t>
  </si>
  <si>
    <t>(in thousands)</t>
  </si>
  <si>
    <t xml:space="preserve">Excess Cash = total cash and cash equivalents - Operational cash </t>
  </si>
  <si>
    <t>Net cash provided by operating activities:  $ 13,335</t>
  </si>
  <si>
    <t>10-k</t>
  </si>
  <si>
    <t>long term debt excluding current portion</t>
  </si>
  <si>
    <t>add PV OL</t>
  </si>
  <si>
    <t xml:space="preserve">total equity </t>
  </si>
  <si>
    <t>g</t>
  </si>
  <si>
    <t xml:space="preserve">High growth period </t>
  </si>
  <si>
    <t xml:space="preserve">Growth rate </t>
  </si>
  <si>
    <t>Risk free rate</t>
  </si>
  <si>
    <t>Stable growth</t>
  </si>
  <si>
    <t>TERMINAL VALUE</t>
  </si>
  <si>
    <t xml:space="preserve">High-growth period </t>
  </si>
  <si>
    <t xml:space="preserve">5 years </t>
  </si>
  <si>
    <t>FCFF at year 5</t>
  </si>
  <si>
    <t>FCFF*(1+stable g)</t>
  </si>
  <si>
    <t>Growth rate high-growth period g1</t>
  </si>
  <si>
    <t xml:space="preserve">Different g </t>
  </si>
  <si>
    <t>g1</t>
  </si>
  <si>
    <t>g stable</t>
  </si>
  <si>
    <t>g2</t>
  </si>
  <si>
    <t>WACC</t>
  </si>
  <si>
    <t>g3</t>
  </si>
  <si>
    <t>g4</t>
  </si>
  <si>
    <t xml:space="preserve">Numerator: </t>
  </si>
  <si>
    <t>g5</t>
  </si>
  <si>
    <t>Denominator</t>
  </si>
  <si>
    <t>TV</t>
  </si>
  <si>
    <t>PV TV</t>
  </si>
  <si>
    <t xml:space="preserve">(in Thousands) </t>
  </si>
  <si>
    <t>Entreprise Value</t>
  </si>
  <si>
    <t>FCFF₁ = FCFF₀ × (1 + High-Growth Rate)</t>
  </si>
  <si>
    <t xml:space="preserve">FCFF0 </t>
  </si>
  <si>
    <t>FCFF1</t>
  </si>
  <si>
    <t>FCFF2</t>
  </si>
  <si>
    <t>FCFF3</t>
  </si>
  <si>
    <t>FCFF4</t>
  </si>
  <si>
    <t>FCFF5</t>
  </si>
  <si>
    <t>Value</t>
  </si>
  <si>
    <t xml:space="preserve">PV </t>
  </si>
  <si>
    <t xml:space="preserve">Sum </t>
  </si>
  <si>
    <t>(in Thousands)</t>
  </si>
  <si>
    <t>OVERVALUED OR UNDERVALUED?</t>
  </si>
  <si>
    <t>Clean Equity</t>
  </si>
  <si>
    <t>Shares outstanding</t>
  </si>
  <si>
    <t>Intrisic Share Value</t>
  </si>
  <si>
    <t>Share price</t>
  </si>
  <si>
    <t>Market Value of Debt (adjusted for OL)</t>
  </si>
  <si>
    <t>Fundamental Equity Value</t>
  </si>
  <si>
    <t>Market Cap</t>
  </si>
  <si>
    <t xml:space="preserve">Undervalued </t>
  </si>
  <si>
    <t>Sensitivity Analysis – Costco DCF: WACC vs High-Growth OI Rate</t>
  </si>
  <si>
    <t>High Growth period Rate (g)</t>
  </si>
  <si>
    <t>High-growth FCFF growth 1</t>
  </si>
  <si>
    <t xml:space="preserve">g stable </t>
  </si>
  <si>
    <t>New Growth Rates</t>
  </si>
  <si>
    <t xml:space="preserve">g5 </t>
  </si>
  <si>
    <t>Enterprice Value</t>
  </si>
  <si>
    <t>Overvalued</t>
  </si>
  <si>
    <t xml:space="preserve">Company </t>
  </si>
  <si>
    <t>2025 (TTM)</t>
  </si>
  <si>
    <t>Source</t>
  </si>
  <si>
    <t>Walmart</t>
  </si>
  <si>
    <t>EBIT (in billions)</t>
  </si>
  <si>
    <t>% change</t>
  </si>
  <si>
    <t>Revenue (in billions)</t>
  </si>
  <si>
    <t>Degree of Operating Leverage</t>
  </si>
  <si>
    <t>Target</t>
  </si>
  <si>
    <t>Dollarama</t>
  </si>
  <si>
    <t>Dollar General</t>
  </si>
  <si>
    <t>Dollar Tree</t>
  </si>
  <si>
    <t xml:space="preserve">Loblaws </t>
  </si>
  <si>
    <t>Kroger</t>
  </si>
  <si>
    <t>Albertsons</t>
  </si>
  <si>
    <t>TJX</t>
  </si>
  <si>
    <t>Five Below</t>
  </si>
  <si>
    <t>Carrefour SA</t>
  </si>
  <si>
    <t>https://ca.finance.yahoo.com/quote/CRRFY/financials/</t>
  </si>
  <si>
    <t>Tesco PLC</t>
  </si>
  <si>
    <t>https://ca.finance.yahoo.com/quote/TSCDY/financials/</t>
  </si>
  <si>
    <t>Ahold Delhaize</t>
  </si>
  <si>
    <t>https://ca.finance.yahoo.com/quote/0RI8.IL/financials/</t>
  </si>
  <si>
    <t>Rewe</t>
  </si>
  <si>
    <t>https://www.rewe-group.com/en/press-and-media/newsroom/press-releases/rewe-group-successfully-navigates-crisis-year-2022-and-stays-on-steady-course/?utm_source=chatgpt.com</t>
  </si>
  <si>
    <t>Metro Inc.</t>
  </si>
  <si>
    <t>https://ca.finance.yahoo.com/quote/MRU.TO/financials/</t>
  </si>
  <si>
    <t>Sainsbury</t>
  </si>
  <si>
    <t>https://ca.finance.yahoo.com/quote/SUY1.HA/financials/</t>
  </si>
  <si>
    <t>-</t>
  </si>
  <si>
    <t>Marks &amp; Spencer</t>
  </si>
  <si>
    <t>https://ca.finance.yahoo.com/quote/MA6.DU/financials/</t>
  </si>
  <si>
    <t>Migros Ticaret A.S.</t>
  </si>
  <si>
    <t>BJ's Wholesale Club</t>
  </si>
  <si>
    <t>https://ca.finance.yahoo.com/quote/BJ/financials/</t>
  </si>
  <si>
    <t>Grocery Outlet Holding Corp.</t>
  </si>
  <si>
    <t>Ingles Markets</t>
  </si>
  <si>
    <t>Weis Markets</t>
  </si>
  <si>
    <t>Burlington Stores</t>
  </si>
  <si>
    <t>Sprouts Farmers Market</t>
  </si>
  <si>
    <t>Ross Stores</t>
  </si>
  <si>
    <t>Shopify</t>
  </si>
  <si>
    <t>Industry Candidates for membership</t>
  </si>
  <si>
    <t xml:space="preserve">Netflix </t>
  </si>
  <si>
    <t>Amazon</t>
  </si>
  <si>
    <t>Planet Fitness</t>
  </si>
  <si>
    <t>Microsoft Corporation</t>
  </si>
  <si>
    <t>Dropbox</t>
  </si>
  <si>
    <t>Apple</t>
  </si>
  <si>
    <t>Alphabet (Google)</t>
  </si>
  <si>
    <t>Degree of Operating Leverage Summary Table</t>
  </si>
  <si>
    <t>Companies</t>
  </si>
  <si>
    <t>Company Operating Leverage</t>
  </si>
  <si>
    <t xml:space="preserve">Mean </t>
  </si>
  <si>
    <t>Median</t>
  </si>
  <si>
    <t>Main Players</t>
  </si>
  <si>
    <t>U.S. Market Share</t>
  </si>
  <si>
    <t>Walmart Inc.</t>
  </si>
  <si>
    <t>Costco Wholesale Corp.</t>
  </si>
  <si>
    <t>Other Competitors</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</si>
</sst>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0000000"/>
    <numFmt numFmtId="165" formatCode="#,##0.00000000"/>
    <numFmt numFmtId="166" formatCode="&quot;$&quot;#,##0.00"/>
    <numFmt numFmtId="167" formatCode="M/d/yyyy"/>
    <numFmt numFmtId="168" formatCode="0.0000"/>
    <numFmt numFmtId="169" formatCode="0.0000%"/>
    <numFmt numFmtId="170" formatCode="0.00000"/>
    <numFmt numFmtId="171" formatCode="0.000000%"/>
    <numFmt numFmtId="172" formatCode="&quot;$&quot;#,##0"/>
    <numFmt numFmtId="173" formatCode="0.000%"/>
    <numFmt numFmtId="174" formatCode="0.00000%"/>
    <numFmt numFmtId="175" formatCode="&quot;$&quot;#,##0.0000"/>
  </numFmts>
  <fonts count="52">
    <font>
      <sz val="10.0"/>
      <color rgb="FF000000"/>
      <name val="Arial"/>
      <scheme val="minor"/>
    </font>
    <font>
      <b/>
      <color theme="1"/>
      <name val="Arial"/>
      <scheme val="minor"/>
    </font>
    <font>
      <color theme="1"/>
      <name val="Arial"/>
      <scheme val="minor"/>
    </font>
    <font>
      <b/>
      <sz val="11.0"/>
      <color theme="1"/>
      <name val="Arial"/>
      <scheme val="minor"/>
    </font>
    <font>
      <sz val="11.0"/>
      <color theme="1"/>
      <name val="Arial"/>
      <scheme val="minor"/>
    </font>
    <font>
      <sz val="11.0"/>
      <color rgb="FF000000"/>
      <name val="Arial"/>
    </font>
    <font>
      <sz val="11.0"/>
      <color rgb="FF000000"/>
      <name val="Calibri"/>
    </font>
    <font>
      <sz val="11.0"/>
      <color rgb="FF000000"/>
      <name val="&quot;Aptos Narrow&quot;"/>
    </font>
    <font>
      <b/>
      <sz val="11.0"/>
      <color rgb="FF000000"/>
      <name val="Arial"/>
    </font>
    <font>
      <b/>
      <sz val="11.0"/>
      <color rgb="FF000000"/>
      <name val="Calibri"/>
    </font>
    <font>
      <b/>
      <sz val="11.0"/>
      <color rgb="FF000000"/>
      <name val="&quot;Aptos Narrow&quot;"/>
    </font>
    <font>
      <sz val="12.0"/>
      <color rgb="FF000000"/>
      <name val="Times"/>
    </font>
    <font>
      <b/>
      <sz val="11.0"/>
      <color theme="1"/>
      <name val="Calibri"/>
    </font>
    <font>
      <b/>
      <sz val="11.0"/>
      <color theme="1"/>
      <name val="Aptos Narrow"/>
    </font>
    <font>
      <sz val="12.0"/>
      <color rgb="FF000000"/>
      <name val="Arial"/>
      <scheme val="minor"/>
    </font>
    <font>
      <sz val="11.0"/>
      <color rgb="FF000000"/>
      <name val="Arial"/>
      <scheme val="minor"/>
    </font>
    <font>
      <sz val="12.0"/>
      <color rgb="FF000000"/>
      <name val="Calibri"/>
    </font>
    <font>
      <b/>
      <sz val="12.0"/>
      <color rgb="FF000000"/>
      <name val="Calibri"/>
    </font>
    <font>
      <b/>
      <sz val="12.0"/>
      <color theme="1"/>
      <name val="Arial"/>
    </font>
    <font>
      <color theme="1"/>
      <name val="Arial"/>
    </font>
    <font>
      <sz val="11.0"/>
      <color theme="1"/>
      <name val="Aptos Narrow"/>
    </font>
    <font>
      <b/>
      <color theme="1"/>
      <name val="Arial"/>
    </font>
    <font>
      <sz val="11.0"/>
      <color theme="1"/>
      <name val="Calibri"/>
    </font>
    <font>
      <sz val="11.0"/>
      <color theme="1"/>
      <name val="Arial"/>
    </font>
    <font>
      <u/>
      <color rgb="FF1155CC"/>
      <name val="Arial"/>
    </font>
    <font>
      <b/>
      <sz val="13.0"/>
      <color theme="1"/>
      <name val="Arial"/>
      <scheme val="minor"/>
    </font>
    <font>
      <u/>
      <sz val="12.0"/>
      <color rgb="FF0000FF"/>
    </font>
    <font>
      <sz val="12.0"/>
      <color theme="1"/>
      <name val="Arial"/>
      <scheme val="minor"/>
    </font>
    <font>
      <b/>
      <sz val="12.0"/>
      <color theme="1"/>
      <name val="Arial"/>
      <scheme val="minor"/>
    </font>
    <font>
      <b/>
      <sz val="12.0"/>
      <color rgb="FF0000FF"/>
      <name val="Arial"/>
      <scheme val="minor"/>
    </font>
    <font>
      <b/>
      <sz val="12.0"/>
      <color rgb="FF000000"/>
      <name val="Arial"/>
      <scheme val="minor"/>
    </font>
    <font>
      <sz val="12.0"/>
      <color rgb="FF484A4C"/>
      <name val="Arial"/>
      <scheme val="minor"/>
    </font>
    <font>
      <sz val="12.0"/>
      <color rgb="FF0000FF"/>
      <name val="Arial"/>
      <scheme val="minor"/>
    </font>
    <font>
      <sz val="11.0"/>
      <color rgb="FF232A31"/>
      <name val="&quot;GT America&quot;"/>
    </font>
    <font/>
    <font>
      <sz val="11.0"/>
      <color rgb="FF232A31"/>
      <name val="Arial"/>
    </font>
    <font>
      <sz val="11.0"/>
      <color rgb="FF0F1115"/>
      <name val="Quote-cjk-patch"/>
    </font>
    <font>
      <u/>
      <color rgb="FF0000FF"/>
      <name val="Arial"/>
    </font>
    <font>
      <u/>
      <color rgb="FF0000FF"/>
    </font>
    <font>
      <sz val="10.0"/>
      <color theme="1"/>
      <name val="Arial"/>
      <scheme val="minor"/>
    </font>
    <font>
      <sz val="10.0"/>
      <color rgb="FF000000"/>
      <name val="Calibri"/>
    </font>
    <font>
      <b/>
      <sz val="11.0"/>
      <color rgb="FF232A31"/>
      <name val="&quot;GT America&quot;"/>
    </font>
    <font>
      <u/>
      <color rgb="FF0000FF"/>
    </font>
    <font>
      <color rgb="FFFF0000"/>
      <name val="Arial"/>
      <scheme val="minor"/>
    </font>
    <font>
      <color rgb="FF000000"/>
      <name val="Arial"/>
      <scheme val="minor"/>
    </font>
    <font>
      <u/>
      <color rgb="FF0000FF"/>
    </font>
    <font>
      <color rgb="FF000000"/>
      <name val="Arial"/>
    </font>
    <font>
      <sz val="12.0"/>
      <color rgb="FF0F1115"/>
      <name val="Quote-cjk-patch"/>
    </font>
    <font>
      <b/>
      <sz val="14.0"/>
      <color theme="1"/>
      <name val="Arial"/>
      <scheme val="minor"/>
    </font>
    <font>
      <sz val="10.0"/>
      <color rgb="FF0F1115"/>
      <name val="Quote-cjk-patch"/>
    </font>
    <font>
      <b/>
      <sz val="13.0"/>
      <color rgb="FFFF0000"/>
      <name val="Arial"/>
      <scheme val="minor"/>
    </font>
    <font>
      <b/>
      <sz val="12.0"/>
      <color rgb="FF0F1115"/>
      <name val="Quote-cjk-patch"/>
    </font>
  </fonts>
  <fills count="24">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00FF"/>
        <bgColor rgb="FFFF00FF"/>
      </patternFill>
    </fill>
    <fill>
      <patternFill patternType="solid">
        <fgColor rgb="FFF3F3F3"/>
        <bgColor rgb="FFF3F3F3"/>
      </patternFill>
    </fill>
    <fill>
      <patternFill patternType="solid">
        <fgColor rgb="FF9FC5E8"/>
        <bgColor rgb="FF9FC5E8"/>
      </patternFill>
    </fill>
    <fill>
      <patternFill patternType="solid">
        <fgColor rgb="FFB6D7A8"/>
        <bgColor rgb="FFB6D7A8"/>
      </patternFill>
    </fill>
    <fill>
      <patternFill patternType="solid">
        <fgColor rgb="FFE6B8AF"/>
        <bgColor rgb="FFE6B8AF"/>
      </patternFill>
    </fill>
    <fill>
      <patternFill patternType="solid">
        <fgColor rgb="FFF4CCCC"/>
        <bgColor rgb="FFF4CCCC"/>
      </patternFill>
    </fill>
    <fill>
      <patternFill patternType="solid">
        <fgColor rgb="FFD9D2E9"/>
        <bgColor rgb="FFD9D2E9"/>
      </patternFill>
    </fill>
    <fill>
      <patternFill patternType="solid">
        <fgColor rgb="FFFFF2CC"/>
        <bgColor rgb="FFFFF2CC"/>
      </patternFill>
    </fill>
    <fill>
      <patternFill patternType="solid">
        <fgColor rgb="FFEFEFEF"/>
        <bgColor rgb="FFEFEFEF"/>
      </patternFill>
    </fill>
    <fill>
      <patternFill patternType="solid">
        <fgColor rgb="FFFCE5CD"/>
        <bgColor rgb="FFFCE5CD"/>
      </patternFill>
    </fill>
    <fill>
      <patternFill patternType="solid">
        <fgColor rgb="FF00FF00"/>
        <bgColor rgb="FF00FF00"/>
      </patternFill>
    </fill>
    <fill>
      <patternFill patternType="solid">
        <fgColor rgb="FFCCCCCC"/>
        <bgColor rgb="FFCCCCCC"/>
      </patternFill>
    </fill>
    <fill>
      <patternFill patternType="solid">
        <fgColor rgb="FFB7B7B7"/>
        <bgColor rgb="FFB7B7B7"/>
      </patternFill>
    </fill>
    <fill>
      <patternFill patternType="solid">
        <fgColor rgb="FFD9EAD3"/>
        <bgColor rgb="FFD9EAD3"/>
      </patternFill>
    </fill>
    <fill>
      <patternFill patternType="solid">
        <fgColor rgb="FF93C47D"/>
        <bgColor rgb="FF93C47D"/>
      </patternFill>
    </fill>
    <fill>
      <patternFill patternType="solid">
        <fgColor rgb="FFCFE2F3"/>
        <bgColor rgb="FFCFE2F3"/>
      </patternFill>
    </fill>
    <fill>
      <patternFill patternType="solid">
        <fgColor rgb="FFF9CB9C"/>
        <bgColor rgb="FFF9CB9C"/>
      </patternFill>
    </fill>
    <fill>
      <patternFill patternType="solid">
        <fgColor rgb="FFD0E0E3"/>
        <bgColor rgb="FFD0E0E3"/>
      </patternFill>
    </fill>
    <fill>
      <patternFill patternType="solid">
        <fgColor theme="1"/>
        <bgColor theme="1"/>
      </patternFill>
    </fill>
    <fill>
      <patternFill patternType="solid">
        <fgColor rgb="FFEA9999"/>
        <bgColor rgb="FFEA9999"/>
      </patternFill>
    </fill>
  </fills>
  <borders count="98">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top style="thin">
        <color rgb="FF000000"/>
      </top>
    </border>
    <border>
      <bottom style="thin">
        <color rgb="FF000000"/>
      </bottom>
    </border>
    <border>
      <top style="double">
        <color rgb="FF000000"/>
      </top>
    </border>
    <border>
      <left style="thin">
        <color rgb="FF000000"/>
      </left>
      <right style="thin">
        <color rgb="FF000000"/>
      </right>
      <top style="thin">
        <color rgb="FF000000"/>
      </top>
    </border>
    <border>
      <left style="medium">
        <color rgb="FF666666"/>
      </left>
      <right style="medium">
        <color rgb="FF666666"/>
      </right>
      <top style="medium">
        <color rgb="FF666666"/>
      </top>
      <bottom style="medium">
        <color rgb="FF666666"/>
      </bottom>
    </border>
    <border>
      <left style="medium">
        <color rgb="FF999999"/>
      </left>
      <right style="medium">
        <color rgb="FF999999"/>
      </right>
      <top style="medium">
        <color rgb="FF999999"/>
      </top>
      <bottom style="medium">
        <color rgb="FF999999"/>
      </bottom>
    </border>
    <border>
      <left style="medium">
        <color rgb="FF434343"/>
      </left>
      <top style="medium">
        <color rgb="FF434343"/>
      </top>
      <bottom style="medium">
        <color rgb="FF434343"/>
      </bottom>
    </border>
    <border>
      <top style="medium">
        <color rgb="FF434343"/>
      </top>
      <bottom style="medium">
        <color rgb="FF434343"/>
      </bottom>
    </border>
    <border>
      <right style="medium">
        <color rgb="FF434343"/>
      </right>
      <top style="medium">
        <color rgb="FF434343"/>
      </top>
      <bottom style="medium">
        <color rgb="FF434343"/>
      </bottom>
    </border>
    <border>
      <left style="medium">
        <color rgb="FF434343"/>
      </left>
    </border>
    <border>
      <left style="medium">
        <color rgb="FF999999"/>
      </left>
      <right style="medium">
        <color rgb="FF434343"/>
      </right>
      <bottom style="medium">
        <color rgb="FF999999"/>
      </bottom>
    </border>
    <border>
      <right style="medium">
        <color rgb="FF434343"/>
      </right>
    </border>
    <border>
      <left style="medium">
        <color rgb="FF434343"/>
      </left>
      <bottom style="medium">
        <color rgb="FF434343"/>
      </bottom>
    </border>
    <border>
      <bottom style="medium">
        <color rgb="FF434343"/>
      </bottom>
    </border>
    <border>
      <right style="medium">
        <color rgb="FF434343"/>
      </right>
      <bottom style="medium">
        <color rgb="FF434343"/>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999999"/>
      </left>
      <right style="thin">
        <color rgb="FF000000"/>
      </right>
      <top style="thin">
        <color rgb="FF000000"/>
      </top>
    </border>
    <border>
      <left style="thin">
        <color rgb="FF999999"/>
      </left>
      <right style="thin">
        <color rgb="FF000000"/>
      </right>
    </border>
    <border>
      <left style="medium">
        <color rgb="FF000000"/>
      </left>
      <top style="medium">
        <color rgb="FF000000"/>
      </top>
      <bottom style="medium">
        <color rgb="FF000000"/>
      </bottom>
    </border>
    <border>
      <left style="thin">
        <color rgb="FF999999"/>
      </left>
      <right style="medium">
        <color rgb="FF000000"/>
      </right>
      <top style="medium">
        <color rgb="FF000000"/>
      </top>
      <bottom style="medium">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medium">
        <color rgb="FF000000"/>
      </left>
      <bottom style="thin">
        <color rgb="FF000000"/>
      </bottom>
    </border>
    <border>
      <right style="medium">
        <color rgb="FF000000"/>
      </right>
      <bottom style="thin">
        <color rgb="FF000000"/>
      </bottom>
    </border>
    <border>
      <left style="medium">
        <color rgb="FF000000"/>
      </left>
      <top style="double">
        <color rgb="FF000000"/>
      </top>
    </border>
    <border>
      <right style="medium">
        <color rgb="FF000000"/>
      </right>
      <top style="double">
        <color rgb="FF000000"/>
      </top>
    </border>
    <border>
      <right style="medium">
        <color rgb="FF000000"/>
      </right>
      <top style="medium">
        <color rgb="FF000000"/>
      </top>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right style="medium">
        <color rgb="FF000000"/>
      </right>
      <top style="thin">
        <color rgb="FF999999"/>
      </top>
      <bottom style="thin">
        <color rgb="FF999999"/>
      </bottom>
    </border>
    <border>
      <left style="thin">
        <color rgb="FF999999"/>
      </left>
      <right style="thin">
        <color rgb="FF999999"/>
      </right>
      <top style="thin">
        <color rgb="FF999999"/>
      </top>
    </border>
    <border>
      <left style="thin">
        <color rgb="FF666666"/>
      </left>
      <right style="thin">
        <color rgb="FF666666"/>
      </right>
      <top style="thin">
        <color rgb="FF666666"/>
      </top>
      <bottom style="medium">
        <color rgb="FF000000"/>
      </bottom>
    </border>
    <border>
      <left style="medium">
        <color rgb="FF000000"/>
      </left>
      <bottom style="thick">
        <color rgb="FF000000"/>
      </bottom>
    </border>
    <border>
      <right style="medium">
        <color rgb="FF000000"/>
      </right>
      <bottom style="thick">
        <color rgb="FF000000"/>
      </bottom>
    </border>
    <border>
      <left style="medium">
        <color rgb="FF000000"/>
      </left>
      <right style="thin">
        <color rgb="FF666666"/>
      </right>
      <top style="thin">
        <color rgb="FF666666"/>
      </top>
      <bottom style="thin">
        <color rgb="FF666666"/>
      </bottom>
    </border>
    <border>
      <left style="thin">
        <color rgb="FF666666"/>
      </left>
      <top style="thin">
        <color rgb="FF666666"/>
      </top>
      <bottom style="thin">
        <color rgb="FF666666"/>
      </bottom>
    </border>
    <border>
      <top style="thin">
        <color rgb="FF666666"/>
      </top>
      <bottom style="thin">
        <color rgb="FF666666"/>
      </bottom>
    </border>
    <border>
      <right style="medium">
        <color rgb="FF000000"/>
      </right>
      <top style="thin">
        <color rgb="FF666666"/>
      </top>
      <bottom style="thin">
        <color rgb="FF666666"/>
      </bottom>
    </border>
    <border>
      <left style="medium">
        <color rgb="FF000000"/>
      </left>
      <right style="thin">
        <color rgb="FF666666"/>
      </right>
      <top style="thin">
        <color rgb="FF666666"/>
      </top>
    </border>
    <border>
      <left style="thin">
        <color rgb="FF666666"/>
      </left>
      <right style="thin">
        <color rgb="FF666666"/>
      </right>
      <top style="thin">
        <color rgb="FF666666"/>
      </top>
      <bottom style="thin">
        <color rgb="FF666666"/>
      </bottom>
    </border>
    <border>
      <left style="thin">
        <color rgb="FF666666"/>
      </left>
      <right style="medium">
        <color rgb="FF000000"/>
      </right>
      <top style="thin">
        <color rgb="FF666666"/>
      </top>
      <bottom style="thin">
        <color rgb="FF666666"/>
      </bottom>
    </border>
    <border>
      <left style="thin">
        <color rgb="FF666666"/>
      </left>
      <top style="thin">
        <color rgb="FF666666"/>
      </top>
    </border>
    <border>
      <right style="thin">
        <color rgb="FF666666"/>
      </right>
      <top style="thin">
        <color rgb="FF666666"/>
      </top>
    </border>
    <border>
      <left style="medium">
        <color rgb="FF000000"/>
      </left>
      <right style="thin">
        <color rgb="FF666666"/>
      </right>
    </border>
    <border>
      <left style="thin">
        <color rgb="FF666666"/>
      </left>
    </border>
    <border>
      <right style="thin">
        <color rgb="FF666666"/>
      </right>
    </border>
    <border>
      <left style="medium">
        <color rgb="FF000000"/>
      </left>
      <right style="thin">
        <color rgb="FF666666"/>
      </right>
      <bottom style="medium">
        <color rgb="FF000000"/>
      </bottom>
    </border>
    <border>
      <left style="thin">
        <color rgb="FF666666"/>
      </left>
      <right style="medium">
        <color rgb="FF000000"/>
      </right>
      <top style="thin">
        <color rgb="FF666666"/>
      </top>
      <bottom style="medium">
        <color rgb="FF000000"/>
      </bottom>
    </border>
    <border>
      <left style="thin">
        <color rgb="FF666666"/>
      </left>
      <top style="medium">
        <color rgb="FF000000"/>
      </top>
      <bottom style="thin">
        <color rgb="FF666666"/>
      </bottom>
    </border>
    <border>
      <right style="thin">
        <color rgb="FF666666"/>
      </right>
      <top style="medium">
        <color rgb="FF000000"/>
      </top>
      <bottom style="thin">
        <color rgb="FF666666"/>
      </bottom>
    </border>
    <border>
      <left style="thin">
        <color rgb="FF666666"/>
      </left>
      <right style="thin">
        <color rgb="FF999999"/>
      </right>
      <top style="thin">
        <color rgb="FF666666"/>
      </top>
      <bottom style="thin">
        <color rgb="FF999999"/>
      </bottom>
    </border>
    <border>
      <left style="thin">
        <color rgb="FF999999"/>
      </left>
      <right style="thin">
        <color rgb="FF999999"/>
      </right>
      <top style="thin">
        <color rgb="FF666666"/>
      </top>
      <bottom style="thin">
        <color rgb="FF999999"/>
      </bottom>
    </border>
    <border>
      <left style="thin">
        <color rgb="FF999999"/>
      </left>
      <right style="thin">
        <color rgb="FF666666"/>
      </right>
      <top style="thin">
        <color rgb="FF666666"/>
      </top>
      <bottom style="thin">
        <color rgb="FF999999"/>
      </bottom>
    </border>
    <border>
      <left style="thin">
        <color rgb="FF666666"/>
      </left>
      <right style="thin">
        <color rgb="FF999999"/>
      </right>
      <top style="thin">
        <color rgb="FF999999"/>
      </top>
      <bottom style="thin">
        <color rgb="FF999999"/>
      </bottom>
    </border>
    <border>
      <left style="thin">
        <color rgb="FF999999"/>
      </left>
      <right style="thin">
        <color rgb="FF666666"/>
      </right>
      <top style="thin">
        <color rgb="FF999999"/>
      </top>
      <bottom style="thin">
        <color rgb="FF999999"/>
      </bottom>
    </border>
    <border>
      <left style="thin">
        <color rgb="FF666666"/>
      </left>
      <bottom style="thin">
        <color rgb="FF666666"/>
      </bottom>
    </border>
    <border>
      <bottom style="thin">
        <color rgb="FF666666"/>
      </bottom>
    </border>
    <border>
      <right style="thin">
        <color rgb="FF666666"/>
      </right>
      <bottom style="thin">
        <color rgb="FF666666"/>
      </bottom>
    </border>
    <border>
      <top style="thin">
        <color rgb="FF666666"/>
      </top>
    </border>
    <border>
      <right style="thin">
        <color rgb="FF666666"/>
      </right>
      <bottom style="thin">
        <color rgb="FF000000"/>
      </bottom>
    </border>
    <border>
      <left style="thin">
        <color rgb="FF666666"/>
      </left>
      <bottom style="thick">
        <color rgb="FF000000"/>
      </bottom>
    </border>
    <border>
      <right style="thin">
        <color rgb="FF666666"/>
      </right>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border>
    <border>
      <left style="medium">
        <color rgb="FF000000"/>
      </left>
      <right style="thick">
        <color rgb="FF000000"/>
      </right>
    </border>
    <border>
      <left style="thick">
        <color rgb="FF000000"/>
      </left>
      <right style="thick">
        <color rgb="FF000000"/>
      </right>
      <bottom style="thick">
        <color rgb="FF000000"/>
      </bottom>
    </border>
  </borders>
  <cellStyleXfs count="1">
    <xf borderId="0" fillId="0" fontId="0" numFmtId="0" applyAlignment="1" applyFont="1"/>
  </cellStyleXfs>
  <cellXfs count="55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1" fillId="0" fontId="1" numFmtId="0" xfId="0" applyAlignment="1" applyBorder="1" applyFont="1">
      <alignment readingOrder="0"/>
    </xf>
    <xf borderId="2" fillId="0" fontId="1" numFmtId="0" xfId="0" applyAlignment="1" applyBorder="1" applyFont="1">
      <alignment readingOrder="0"/>
    </xf>
    <xf borderId="3" fillId="0" fontId="1" numFmtId="0" xfId="0" applyAlignment="1" applyBorder="1" applyFont="1">
      <alignment readingOrder="0"/>
    </xf>
    <xf borderId="4" fillId="0" fontId="2" numFmtId="0" xfId="0" applyBorder="1" applyFont="1"/>
    <xf borderId="5" fillId="0" fontId="2" numFmtId="0" xfId="0" applyBorder="1" applyFont="1"/>
    <xf borderId="4" fillId="0" fontId="1" numFmtId="0" xfId="0" applyAlignment="1" applyBorder="1" applyFont="1">
      <alignment readingOrder="0"/>
    </xf>
    <xf borderId="0" fillId="0" fontId="2" numFmtId="0" xfId="0" applyFont="1"/>
    <xf borderId="4" fillId="0" fontId="2" numFmtId="0" xfId="0" applyAlignment="1" applyBorder="1" applyFont="1">
      <alignment readingOrder="0"/>
    </xf>
    <xf borderId="0" fillId="0" fontId="2" numFmtId="0" xfId="0" applyAlignment="1" applyFont="1">
      <alignment readingOrder="0"/>
    </xf>
    <xf borderId="4" fillId="0" fontId="3" numFmtId="0" xfId="0" applyAlignment="1" applyBorder="1" applyFont="1">
      <alignment readingOrder="0"/>
    </xf>
    <xf borderId="5" fillId="0" fontId="2" numFmtId="0" xfId="0" applyAlignment="1" applyBorder="1" applyFont="1">
      <alignment readingOrder="0"/>
    </xf>
    <xf borderId="0" fillId="2" fontId="2" numFmtId="0" xfId="0" applyFill="1" applyFont="1"/>
    <xf borderId="0" fillId="0" fontId="4" numFmtId="0" xfId="0" applyAlignment="1" applyFont="1">
      <alignment readingOrder="0"/>
    </xf>
    <xf borderId="6" fillId="0" fontId="3" numFmtId="0" xfId="0" applyAlignment="1" applyBorder="1" applyFont="1">
      <alignment readingOrder="0"/>
    </xf>
    <xf borderId="7" fillId="0" fontId="2" numFmtId="0" xfId="0" applyBorder="1" applyFont="1"/>
    <xf borderId="8" fillId="0" fontId="2" numFmtId="0" xfId="0" applyBorder="1" applyFont="1"/>
    <xf borderId="0" fillId="0" fontId="3" numFmtId="0" xfId="0" applyAlignment="1" applyFont="1">
      <alignment readingOrder="0"/>
    </xf>
    <xf borderId="9" fillId="0" fontId="5" numFmtId="0" xfId="0" applyAlignment="1" applyBorder="1" applyFont="1">
      <alignment readingOrder="0" shrinkToFit="0" vertical="bottom" wrapText="0"/>
    </xf>
    <xf borderId="9" fillId="0" fontId="4" numFmtId="0" xfId="0" applyAlignment="1" applyBorder="1" applyFont="1">
      <alignment readingOrder="0"/>
    </xf>
    <xf borderId="0" fillId="0" fontId="6" numFmtId="0" xfId="0" applyAlignment="1" applyFont="1">
      <alignment readingOrder="0" shrinkToFit="0" vertical="bottom" wrapText="0"/>
    </xf>
    <xf borderId="9" fillId="0" fontId="7" numFmtId="0" xfId="0" applyAlignment="1" applyBorder="1" applyFont="1">
      <alignment horizontal="right" readingOrder="0" shrinkToFit="0" vertical="bottom" wrapText="0"/>
    </xf>
    <xf borderId="9" fillId="0" fontId="2" numFmtId="4" xfId="0" applyBorder="1" applyFont="1" applyNumberFormat="1"/>
    <xf borderId="9" fillId="0" fontId="2" numFmtId="0" xfId="0" applyBorder="1" applyFont="1"/>
    <xf borderId="9" fillId="0" fontId="3" numFmtId="0" xfId="0" applyAlignment="1" applyBorder="1" applyFont="1">
      <alignment readingOrder="0"/>
    </xf>
    <xf borderId="9" fillId="0" fontId="2" numFmtId="0" xfId="0" applyAlignment="1" applyBorder="1" applyFont="1">
      <alignment readingOrder="0"/>
    </xf>
    <xf borderId="9" fillId="0" fontId="7" numFmtId="10" xfId="0" applyAlignment="1" applyBorder="1" applyFont="1" applyNumberFormat="1">
      <alignment horizontal="right" readingOrder="0" shrinkToFit="0" vertical="bottom" wrapText="0"/>
    </xf>
    <xf borderId="9" fillId="0" fontId="5" numFmtId="0" xfId="0" applyAlignment="1" applyBorder="1" applyFont="1">
      <alignment horizontal="right" readingOrder="0" shrinkToFit="0" vertical="bottom" wrapText="0"/>
    </xf>
    <xf borderId="0" fillId="0" fontId="7" numFmtId="0" xfId="0" applyAlignment="1" applyFont="1">
      <alignment readingOrder="0" shrinkToFit="0" vertical="bottom" wrapText="0"/>
    </xf>
    <xf borderId="9" fillId="0" fontId="7" numFmtId="4" xfId="0" applyAlignment="1" applyBorder="1" applyFont="1" applyNumberFormat="1">
      <alignment horizontal="right" readingOrder="0" shrinkToFit="0" vertical="bottom" wrapText="0"/>
    </xf>
    <xf borderId="9" fillId="0" fontId="7" numFmtId="0" xfId="0" applyAlignment="1" applyBorder="1" applyFont="1">
      <alignment readingOrder="0" shrinkToFit="0" vertical="bottom" wrapText="0"/>
    </xf>
    <xf borderId="0" fillId="0" fontId="5" numFmtId="0" xfId="0" applyAlignment="1" applyFont="1">
      <alignment readingOrder="0" shrinkToFit="0" vertical="bottom" wrapText="0"/>
    </xf>
    <xf borderId="0" fillId="0" fontId="7" numFmtId="0" xfId="0" applyAlignment="1" applyFont="1">
      <alignment horizontal="right" readingOrder="0" shrinkToFit="0" vertical="bottom" wrapText="0"/>
    </xf>
    <xf borderId="9" fillId="0" fontId="8" numFmtId="0" xfId="0" applyAlignment="1" applyBorder="1" applyFont="1">
      <alignment readingOrder="0" shrinkToFit="0" vertical="bottom" wrapText="0"/>
    </xf>
    <xf borderId="9" fillId="0" fontId="1" numFmtId="0" xfId="0" applyAlignment="1" applyBorder="1" applyFont="1">
      <alignment readingOrder="0"/>
    </xf>
    <xf borderId="9" fillId="0" fontId="9" numFmtId="0" xfId="0" applyAlignment="1" applyBorder="1" applyFont="1">
      <alignment readingOrder="0" shrinkToFit="0" vertical="bottom" wrapText="0"/>
    </xf>
    <xf borderId="9" fillId="0" fontId="10" numFmtId="0" xfId="0" applyAlignment="1" applyBorder="1" applyFont="1">
      <alignment readingOrder="0" shrinkToFit="0" vertical="bottom" wrapText="0"/>
    </xf>
    <xf borderId="9" fillId="3" fontId="8" numFmtId="0" xfId="0" applyAlignment="1" applyBorder="1" applyFill="1" applyFont="1">
      <alignment readingOrder="0" shrinkToFit="0" vertical="bottom" wrapText="0"/>
    </xf>
    <xf borderId="9" fillId="3" fontId="7" numFmtId="0" xfId="0" applyAlignment="1" applyBorder="1" applyFont="1">
      <alignment horizontal="right" readingOrder="0" shrinkToFit="0" vertical="bottom" wrapText="0"/>
    </xf>
    <xf borderId="9" fillId="3" fontId="3" numFmtId="0" xfId="0" applyAlignment="1" applyBorder="1" applyFont="1">
      <alignment readingOrder="0"/>
    </xf>
    <xf borderId="9" fillId="3" fontId="2" numFmtId="164" xfId="0" applyBorder="1" applyFont="1" applyNumberFormat="1"/>
    <xf borderId="9" fillId="3" fontId="2" numFmtId="165" xfId="0" applyBorder="1" applyFont="1" applyNumberFormat="1"/>
    <xf borderId="9" fillId="3" fontId="2" numFmtId="0" xfId="0" applyBorder="1" applyFont="1"/>
    <xf borderId="9" fillId="4" fontId="2" numFmtId="0" xfId="0" applyBorder="1" applyFill="1" applyFont="1"/>
    <xf borderId="9" fillId="4" fontId="6" numFmtId="0" xfId="0" applyAlignment="1" applyBorder="1" applyFont="1">
      <alignment readingOrder="0" shrinkToFit="0" vertical="bottom" wrapText="0"/>
    </xf>
    <xf borderId="9" fillId="4" fontId="4" numFmtId="0" xfId="0" applyAlignment="1" applyBorder="1" applyFont="1">
      <alignment readingOrder="0"/>
    </xf>
    <xf borderId="0" fillId="4" fontId="2" numFmtId="0" xfId="0" applyFont="1"/>
    <xf borderId="0" fillId="0" fontId="11" numFmtId="0" xfId="0" applyFont="1"/>
    <xf borderId="9" fillId="0" fontId="6" numFmtId="0" xfId="0" applyAlignment="1" applyBorder="1" applyFont="1">
      <alignment readingOrder="0" shrinkToFit="0" vertical="bottom" wrapText="0"/>
    </xf>
    <xf borderId="0" fillId="0" fontId="9" numFmtId="0" xfId="0" applyAlignment="1" applyFont="1">
      <alignment horizontal="center" readingOrder="0" shrinkToFit="0" vertical="bottom" wrapText="0"/>
    </xf>
    <xf borderId="0" fillId="0" fontId="6" numFmtId="0" xfId="0" applyAlignment="1" applyFont="1">
      <alignment horizontal="center" shrinkToFit="0" vertical="bottom" wrapText="0"/>
    </xf>
    <xf borderId="0" fillId="0" fontId="6" numFmtId="0" xfId="0" applyAlignment="1" applyFont="1">
      <alignment horizontal="center" readingOrder="0" shrinkToFit="0" vertical="bottom" wrapText="0"/>
    </xf>
    <xf borderId="0" fillId="0" fontId="6" numFmtId="0" xfId="0" applyAlignment="1" applyFont="1">
      <alignment shrinkToFit="0" vertical="bottom" wrapText="0"/>
    </xf>
    <xf borderId="0" fillId="0" fontId="6" numFmtId="4" xfId="0" applyAlignment="1" applyFont="1" applyNumberFormat="1">
      <alignment readingOrder="0" shrinkToFit="0" vertical="bottom" wrapText="0"/>
    </xf>
    <xf borderId="9" fillId="0" fontId="2" numFmtId="10" xfId="0" applyBorder="1" applyFont="1" applyNumberFormat="1"/>
    <xf borderId="10" fillId="0" fontId="6" numFmtId="0" xfId="0" applyAlignment="1" applyBorder="1" applyFont="1">
      <alignment readingOrder="0" shrinkToFit="0" vertical="bottom" wrapText="0"/>
    </xf>
    <xf borderId="10" fillId="0" fontId="6" numFmtId="4" xfId="0" applyAlignment="1" applyBorder="1" applyFont="1" applyNumberFormat="1">
      <alignment readingOrder="0" shrinkToFit="0" vertical="bottom" wrapText="0"/>
    </xf>
    <xf borderId="0" fillId="0" fontId="6" numFmtId="4" xfId="0" applyAlignment="1" applyFont="1" applyNumberFormat="1">
      <alignment shrinkToFit="0" vertical="bottom" wrapText="0"/>
    </xf>
    <xf borderId="0" fillId="0" fontId="2" numFmtId="165" xfId="0" applyFont="1" applyNumberFormat="1"/>
    <xf borderId="0" fillId="0" fontId="2" numFmtId="164" xfId="0" applyFont="1" applyNumberFormat="1"/>
    <xf borderId="0" fillId="0" fontId="9" numFmtId="0" xfId="0" applyAlignment="1" applyFont="1">
      <alignment readingOrder="0" shrinkToFit="0" vertical="bottom" wrapText="0"/>
    </xf>
    <xf borderId="9" fillId="0" fontId="12" numFmtId="0" xfId="0" applyAlignment="1" applyBorder="1" applyFont="1">
      <alignment vertical="bottom"/>
    </xf>
    <xf borderId="0" fillId="0" fontId="9" numFmtId="0" xfId="0" applyAlignment="1" applyFont="1">
      <alignment readingOrder="0" shrinkToFit="0" vertical="bottom" wrapText="0"/>
    </xf>
    <xf borderId="9" fillId="0" fontId="13" numFmtId="0" xfId="0" applyAlignment="1" applyBorder="1" applyFont="1">
      <alignment vertical="bottom"/>
    </xf>
    <xf borderId="0" fillId="0" fontId="14" numFmtId="0" xfId="0" applyAlignment="1" applyFont="1">
      <alignment horizontal="center" shrinkToFit="0" vertical="bottom" wrapText="0"/>
    </xf>
    <xf borderId="0" fillId="0" fontId="14" numFmtId="0" xfId="0" applyAlignment="1" applyFont="1">
      <alignment horizontal="center" readingOrder="0" shrinkToFit="0" vertical="bottom" wrapText="0"/>
    </xf>
    <xf borderId="0" fillId="0" fontId="14" numFmtId="0" xfId="0" applyAlignment="1" applyFont="1">
      <alignment horizontal="right" readingOrder="0" shrinkToFit="0" vertical="bottom" wrapText="0"/>
    </xf>
    <xf borderId="0" fillId="0" fontId="15" numFmtId="0" xfId="0" applyAlignment="1" applyFont="1">
      <alignment readingOrder="0" shrinkToFit="0" vertical="bottom" wrapText="0"/>
    </xf>
    <xf borderId="0" fillId="0" fontId="16" numFmtId="0" xfId="0" applyAlignment="1" applyFont="1">
      <alignment shrinkToFit="0" vertical="bottom" wrapText="0"/>
    </xf>
    <xf borderId="0" fillId="0" fontId="14" numFmtId="0" xfId="0" applyAlignment="1" applyFont="1">
      <alignment shrinkToFit="0" vertical="bottom" wrapText="0"/>
    </xf>
    <xf borderId="0" fillId="0" fontId="16" numFmtId="0" xfId="0" applyAlignment="1" applyFont="1">
      <alignment readingOrder="0" shrinkToFit="0" vertical="bottom" wrapText="0"/>
    </xf>
    <xf borderId="0" fillId="0" fontId="14" numFmtId="0" xfId="0" applyAlignment="1" applyFont="1">
      <alignment readingOrder="0" shrinkToFit="0" vertical="bottom" wrapText="0"/>
    </xf>
    <xf borderId="0" fillId="0" fontId="17" numFmtId="0" xfId="0" applyAlignment="1" applyFont="1">
      <alignment readingOrder="0" shrinkToFit="0" vertical="bottom" wrapText="0"/>
    </xf>
    <xf borderId="0" fillId="0" fontId="16" numFmtId="164" xfId="0" applyAlignment="1" applyFont="1" applyNumberFormat="1">
      <alignment horizontal="right" readingOrder="0" shrinkToFit="0" vertical="bottom" wrapText="0"/>
    </xf>
    <xf borderId="0" fillId="0" fontId="4" numFmtId="0" xfId="0" applyAlignment="1" applyFont="1">
      <alignment vertical="bottom"/>
    </xf>
    <xf borderId="0" fillId="0" fontId="16" numFmtId="165" xfId="0" applyAlignment="1" applyFont="1" applyNumberFormat="1">
      <alignment horizontal="right" readingOrder="0" shrinkToFit="0" vertical="bottom" wrapText="0"/>
    </xf>
    <xf borderId="0" fillId="0" fontId="6" numFmtId="4" xfId="0" applyAlignment="1" applyFont="1" applyNumberFormat="1">
      <alignment readingOrder="0" shrinkToFit="0" vertical="bottom" wrapText="0"/>
    </xf>
    <xf borderId="0" fillId="0" fontId="6" numFmtId="0" xfId="0" applyAlignment="1" applyFont="1">
      <alignment readingOrder="0" shrinkToFit="0" vertical="bottom" wrapText="0"/>
    </xf>
    <xf borderId="0" fillId="0" fontId="7" numFmtId="0" xfId="0" applyAlignment="1" applyFont="1">
      <alignment horizontal="center" readingOrder="0" shrinkToFit="0" vertical="bottom" wrapText="0"/>
    </xf>
    <xf borderId="0" fillId="5" fontId="18" numFmtId="0" xfId="0" applyAlignment="1" applyFill="1" applyFont="1">
      <alignment readingOrder="0" vertical="bottom"/>
    </xf>
    <xf borderId="0" fillId="0" fontId="19" numFmtId="0" xfId="0" applyAlignment="1" applyFont="1">
      <alignment vertical="bottom"/>
    </xf>
    <xf borderId="0" fillId="0" fontId="20" numFmtId="0" xfId="0" applyAlignment="1" applyFont="1">
      <alignment vertical="bottom"/>
    </xf>
    <xf borderId="0" fillId="2" fontId="21" numFmtId="0" xfId="0" applyAlignment="1" applyFont="1">
      <alignment readingOrder="0" vertical="bottom"/>
    </xf>
    <xf borderId="0" fillId="2" fontId="19" numFmtId="10" xfId="0" applyAlignment="1" applyFont="1" applyNumberFormat="1">
      <alignment vertical="bottom"/>
    </xf>
    <xf borderId="0" fillId="2" fontId="22" numFmtId="0" xfId="0" applyAlignment="1" applyFont="1">
      <alignment horizontal="left" vertical="bottom"/>
    </xf>
    <xf borderId="0" fillId="2" fontId="22" numFmtId="166" xfId="0" applyAlignment="1" applyFont="1" applyNumberFormat="1">
      <alignment vertical="bottom"/>
    </xf>
    <xf borderId="11" fillId="2" fontId="22" numFmtId="0" xfId="0" applyAlignment="1" applyBorder="1" applyFont="1">
      <alignment horizontal="left" vertical="bottom"/>
    </xf>
    <xf borderId="11" fillId="2" fontId="22" numFmtId="166" xfId="0" applyAlignment="1" applyBorder="1" applyFont="1" applyNumberFormat="1">
      <alignment vertical="bottom"/>
    </xf>
    <xf borderId="0" fillId="2" fontId="22" numFmtId="10" xfId="0" applyAlignment="1" applyFont="1" applyNumberFormat="1">
      <alignment vertical="bottom"/>
    </xf>
    <xf borderId="0" fillId="2" fontId="22" numFmtId="0" xfId="0" applyAlignment="1" applyFont="1">
      <alignment horizontal="center" readingOrder="0" vertical="bottom"/>
    </xf>
    <xf borderId="0" fillId="0" fontId="5" numFmtId="0" xfId="0" applyAlignment="1" applyFont="1">
      <alignment horizontal="right" readingOrder="0" shrinkToFit="0" vertical="bottom" wrapText="0"/>
    </xf>
    <xf borderId="0" fillId="2" fontId="22" numFmtId="0" xfId="0" applyAlignment="1" applyFont="1">
      <alignment readingOrder="0" vertical="bottom"/>
    </xf>
    <xf borderId="0" fillId="0" fontId="19" numFmtId="0" xfId="0" applyAlignment="1" applyFont="1">
      <alignment readingOrder="0" vertical="bottom"/>
    </xf>
    <xf borderId="0" fillId="2" fontId="22" numFmtId="166" xfId="0" applyAlignment="1" applyFont="1" applyNumberFormat="1">
      <alignment readingOrder="0" vertical="bottom"/>
    </xf>
    <xf borderId="0" fillId="0" fontId="23" numFmtId="0" xfId="0" applyAlignment="1" applyFont="1">
      <alignment readingOrder="0" vertical="bottom"/>
    </xf>
    <xf borderId="11" fillId="2" fontId="22" numFmtId="0" xfId="0" applyAlignment="1" applyBorder="1" applyFont="1">
      <alignment readingOrder="0" vertical="bottom"/>
    </xf>
    <xf borderId="11" fillId="2" fontId="22" numFmtId="166" xfId="0" applyAlignment="1" applyBorder="1" applyFont="1" applyNumberFormat="1">
      <alignment readingOrder="0" vertical="bottom"/>
    </xf>
    <xf borderId="0" fillId="0" fontId="22" numFmtId="0" xfId="0" applyAlignment="1" applyFont="1">
      <alignment readingOrder="0"/>
    </xf>
    <xf borderId="0" fillId="0" fontId="22" numFmtId="166" xfId="0" applyFont="1" applyNumberFormat="1"/>
    <xf borderId="0" fillId="0" fontId="22" numFmtId="0" xfId="0" applyFont="1"/>
    <xf borderId="12" fillId="0" fontId="12" numFmtId="0" xfId="0" applyAlignment="1" applyBorder="1" applyFont="1">
      <alignment readingOrder="0"/>
    </xf>
    <xf borderId="12" fillId="0" fontId="12" numFmtId="10" xfId="0" applyBorder="1" applyFont="1" applyNumberFormat="1"/>
    <xf borderId="0" fillId="0" fontId="12" numFmtId="0" xfId="0" applyAlignment="1" applyFont="1">
      <alignment readingOrder="0"/>
    </xf>
    <xf borderId="0" fillId="0" fontId="22" numFmtId="10" xfId="0" applyFont="1" applyNumberFormat="1"/>
    <xf borderId="0" fillId="3" fontId="4" numFmtId="0" xfId="0" applyAlignment="1" applyFont="1">
      <alignment readingOrder="0"/>
    </xf>
    <xf borderId="0" fillId="3" fontId="2" numFmtId="0" xfId="0" applyFont="1"/>
    <xf borderId="0" fillId="0" fontId="19" numFmtId="0" xfId="0" applyAlignment="1" applyFont="1">
      <alignment horizontal="center" vertical="bottom"/>
    </xf>
    <xf borderId="0" fillId="3" fontId="3" numFmtId="0" xfId="0" applyAlignment="1" applyFont="1">
      <alignment readingOrder="0"/>
    </xf>
    <xf borderId="0" fillId="3" fontId="2" numFmtId="165" xfId="0" applyFont="1" applyNumberFormat="1"/>
    <xf borderId="0" fillId="3" fontId="2" numFmtId="164" xfId="0" applyFont="1" applyNumberFormat="1"/>
    <xf borderId="0" fillId="0" fontId="19" numFmtId="0" xfId="0" applyAlignment="1" applyFont="1">
      <alignment horizontal="right" vertical="bottom"/>
    </xf>
    <xf borderId="0" fillId="0" fontId="7" numFmtId="0" xfId="0" applyAlignment="1" applyFont="1">
      <alignment shrinkToFit="0" vertical="bottom" wrapText="0"/>
    </xf>
    <xf borderId="0" fillId="6" fontId="21" numFmtId="167" xfId="0" applyAlignment="1" applyFill="1" applyFont="1" applyNumberFormat="1">
      <alignment horizontal="center" vertical="bottom"/>
    </xf>
    <xf borderId="0" fillId="6" fontId="21" numFmtId="166" xfId="0" applyAlignment="1" applyFont="1" applyNumberFormat="1">
      <alignment horizontal="center" vertical="bottom"/>
    </xf>
    <xf borderId="0" fillId="6" fontId="21" numFmtId="168" xfId="0" applyAlignment="1" applyFont="1" applyNumberFormat="1">
      <alignment horizontal="center" vertical="bottom"/>
    </xf>
    <xf borderId="0" fillId="6" fontId="21" numFmtId="169" xfId="0" applyAlignment="1" applyFont="1" applyNumberFormat="1">
      <alignment horizontal="center" vertical="bottom"/>
    </xf>
    <xf borderId="0" fillId="0" fontId="19" numFmtId="167" xfId="0" applyAlignment="1" applyFont="1" applyNumberFormat="1">
      <alignment horizontal="right" vertical="bottom"/>
    </xf>
    <xf borderId="0" fillId="0" fontId="19" numFmtId="166" xfId="0" applyAlignment="1" applyFont="1" applyNumberFormat="1">
      <alignment horizontal="right" vertical="bottom"/>
    </xf>
    <xf borderId="0" fillId="0" fontId="19" numFmtId="168" xfId="0" applyAlignment="1" applyFont="1" applyNumberFormat="1">
      <alignment horizontal="right" vertical="bottom"/>
    </xf>
    <xf borderId="0" fillId="0" fontId="19" numFmtId="169" xfId="0" applyAlignment="1" applyFont="1" applyNumberFormat="1">
      <alignment horizontal="right" vertical="bottom"/>
    </xf>
    <xf borderId="9" fillId="6" fontId="21" numFmtId="0" xfId="0" applyAlignment="1" applyBorder="1" applyFont="1">
      <alignment vertical="bottom"/>
    </xf>
    <xf borderId="9" fillId="0" fontId="19" numFmtId="0" xfId="0" applyAlignment="1" applyBorder="1" applyFont="1">
      <alignment horizontal="center" vertical="bottom"/>
    </xf>
    <xf borderId="0" fillId="0" fontId="3" numFmtId="0" xfId="0" applyAlignment="1" applyFont="1">
      <alignment horizontal="center" readingOrder="0"/>
    </xf>
    <xf borderId="9" fillId="0" fontId="19" numFmtId="169" xfId="0" applyAlignment="1" applyBorder="1" applyFont="1" applyNumberFormat="1">
      <alignment horizontal="center" vertical="bottom"/>
    </xf>
    <xf borderId="9" fillId="6" fontId="21" numFmtId="166" xfId="0" applyAlignment="1" applyBorder="1" applyFont="1" applyNumberFormat="1">
      <alignment vertical="bottom"/>
    </xf>
    <xf borderId="9" fillId="6" fontId="21" numFmtId="169" xfId="0" applyAlignment="1" applyBorder="1" applyFont="1" applyNumberFormat="1">
      <alignment vertical="bottom"/>
    </xf>
    <xf borderId="9" fillId="6" fontId="21" numFmtId="10" xfId="0" applyAlignment="1" applyBorder="1" applyFont="1" applyNumberFormat="1">
      <alignment vertical="bottom"/>
    </xf>
    <xf borderId="9" fillId="0" fontId="19" numFmtId="166" xfId="0" applyAlignment="1" applyBorder="1" applyFont="1" applyNumberFormat="1">
      <alignment horizontal="right" vertical="bottom"/>
    </xf>
    <xf borderId="9" fillId="0" fontId="19" numFmtId="169" xfId="0" applyAlignment="1" applyBorder="1" applyFont="1" applyNumberFormat="1">
      <alignment horizontal="right" vertical="bottom"/>
    </xf>
    <xf borderId="9" fillId="0" fontId="19" numFmtId="10" xfId="0" applyAlignment="1" applyBorder="1" applyFont="1" applyNumberFormat="1">
      <alignment horizontal="right" vertical="bottom"/>
    </xf>
    <xf borderId="9" fillId="0" fontId="19" numFmtId="0" xfId="0" applyAlignment="1" applyBorder="1" applyFont="1">
      <alignment horizontal="right" vertical="bottom"/>
    </xf>
    <xf borderId="0" fillId="0" fontId="19" numFmtId="166" xfId="0" applyAlignment="1" applyFont="1" applyNumberFormat="1">
      <alignment vertical="bottom"/>
    </xf>
    <xf borderId="0" fillId="0" fontId="19" numFmtId="169" xfId="0" applyAlignment="1" applyFont="1" applyNumberFormat="1">
      <alignment vertical="bottom"/>
    </xf>
    <xf borderId="0" fillId="0" fontId="19" numFmtId="10" xfId="0" applyAlignment="1" applyFont="1" applyNumberFormat="1">
      <alignment vertical="bottom"/>
    </xf>
    <xf borderId="0" fillId="0" fontId="21" numFmtId="166" xfId="0" applyAlignment="1" applyFont="1" applyNumberFormat="1">
      <alignment horizontal="center" vertical="bottom"/>
    </xf>
    <xf borderId="9" fillId="0" fontId="19" numFmtId="166" xfId="0" applyAlignment="1" applyBorder="1" applyFont="1" applyNumberFormat="1">
      <alignment horizontal="center" vertical="bottom"/>
    </xf>
    <xf borderId="9" fillId="7" fontId="21" numFmtId="166" xfId="0" applyAlignment="1" applyBorder="1" applyFill="1" applyFont="1" applyNumberFormat="1">
      <alignment vertical="bottom"/>
    </xf>
    <xf borderId="9" fillId="7" fontId="21" numFmtId="169" xfId="0" applyAlignment="1" applyBorder="1" applyFont="1" applyNumberFormat="1">
      <alignment vertical="bottom"/>
    </xf>
    <xf borderId="9" fillId="7" fontId="21" numFmtId="10" xfId="0" applyAlignment="1" applyBorder="1" applyFont="1" applyNumberFormat="1">
      <alignment vertical="bottom"/>
    </xf>
    <xf borderId="9" fillId="7" fontId="21" numFmtId="0" xfId="0" applyAlignment="1" applyBorder="1" applyFont="1">
      <alignment vertical="bottom"/>
    </xf>
    <xf borderId="9" fillId="0" fontId="19" numFmtId="10" xfId="0" applyAlignment="1" applyBorder="1" applyFont="1" applyNumberFormat="1">
      <alignment vertical="bottom"/>
    </xf>
    <xf borderId="0" fillId="0" fontId="24" numFmtId="0" xfId="0" applyAlignment="1" applyFont="1">
      <alignment vertical="bottom"/>
    </xf>
    <xf borderId="9" fillId="8" fontId="21" numFmtId="166" xfId="0" applyAlignment="1" applyBorder="1" applyFill="1" applyFont="1" applyNumberFormat="1">
      <alignment vertical="bottom"/>
    </xf>
    <xf borderId="9" fillId="8" fontId="21" numFmtId="169" xfId="0" applyAlignment="1" applyBorder="1" applyFont="1" applyNumberFormat="1">
      <alignment vertical="bottom"/>
    </xf>
    <xf borderId="9" fillId="8" fontId="21" numFmtId="10" xfId="0" applyAlignment="1" applyBorder="1" applyFont="1" applyNumberFormat="1">
      <alignment vertical="bottom"/>
    </xf>
    <xf borderId="9" fillId="8" fontId="21" numFmtId="0" xfId="0" applyAlignment="1" applyBorder="1" applyFont="1">
      <alignment vertical="bottom"/>
    </xf>
    <xf borderId="0" fillId="0" fontId="1" numFmtId="0" xfId="0" applyAlignment="1" applyFont="1">
      <alignment horizontal="center" readingOrder="0"/>
    </xf>
    <xf borderId="9" fillId="9" fontId="21" numFmtId="0" xfId="0" applyAlignment="1" applyBorder="1" applyFill="1" applyFont="1">
      <alignment vertical="bottom"/>
    </xf>
    <xf borderId="9" fillId="9" fontId="21" numFmtId="166" xfId="0" applyAlignment="1" applyBorder="1" applyFont="1" applyNumberFormat="1">
      <alignment vertical="bottom"/>
    </xf>
    <xf borderId="9" fillId="0" fontId="19" numFmtId="170" xfId="0" applyAlignment="1" applyBorder="1" applyFont="1" applyNumberFormat="1">
      <alignment horizontal="right" vertical="bottom"/>
    </xf>
    <xf borderId="13" fillId="0" fontId="19" numFmtId="166" xfId="0" applyAlignment="1" applyBorder="1" applyFont="1" applyNumberFormat="1">
      <alignment horizontal="right" vertical="bottom"/>
    </xf>
    <xf borderId="2" fillId="0" fontId="19" numFmtId="166" xfId="0" applyAlignment="1" applyBorder="1" applyFont="1" applyNumberFormat="1">
      <alignment horizontal="right" vertical="bottom"/>
    </xf>
    <xf borderId="0" fillId="0" fontId="19" numFmtId="167" xfId="0" applyAlignment="1" applyFont="1" applyNumberFormat="1">
      <alignment vertical="bottom"/>
    </xf>
    <xf borderId="0" fillId="0" fontId="19" numFmtId="168" xfId="0" applyAlignment="1" applyFont="1" applyNumberFormat="1">
      <alignment vertical="bottom"/>
    </xf>
    <xf borderId="0" fillId="0" fontId="25" numFmtId="0" xfId="0" applyAlignment="1" applyFont="1">
      <alignment readingOrder="0"/>
    </xf>
    <xf borderId="0" fillId="0" fontId="26" numFmtId="0" xfId="0" applyAlignment="1" applyFont="1">
      <alignment readingOrder="0"/>
    </xf>
    <xf borderId="0" fillId="0" fontId="27" numFmtId="0" xfId="0" applyFont="1"/>
    <xf borderId="0" fillId="0" fontId="28" numFmtId="0" xfId="0" applyAlignment="1" applyFont="1">
      <alignment horizontal="center" readingOrder="0"/>
    </xf>
    <xf borderId="0" fillId="0" fontId="29" numFmtId="0" xfId="0" applyAlignment="1" applyFont="1">
      <alignment horizontal="center" readingOrder="0"/>
    </xf>
    <xf borderId="14" fillId="0" fontId="28" numFmtId="0" xfId="0" applyAlignment="1" applyBorder="1" applyFont="1">
      <alignment horizontal="center" readingOrder="0"/>
    </xf>
    <xf borderId="14" fillId="0" fontId="29" numFmtId="0" xfId="0" applyAlignment="1" applyBorder="1" applyFont="1">
      <alignment horizontal="center" readingOrder="0"/>
    </xf>
    <xf borderId="14" fillId="0" fontId="30" numFmtId="0" xfId="0" applyAlignment="1" applyBorder="1" applyFont="1">
      <alignment horizontal="center" readingOrder="0"/>
    </xf>
    <xf borderId="14" fillId="0" fontId="31" numFmtId="10" xfId="0" applyAlignment="1" applyBorder="1" applyFont="1" applyNumberFormat="1">
      <alignment readingOrder="0"/>
    </xf>
    <xf borderId="14" fillId="0" fontId="27" numFmtId="10" xfId="0" applyAlignment="1" applyBorder="1" applyFont="1" applyNumberFormat="1">
      <alignment readingOrder="0"/>
    </xf>
    <xf borderId="14" fillId="0" fontId="32" numFmtId="10" xfId="0" applyAlignment="1" applyBorder="1" applyFont="1" applyNumberFormat="1">
      <alignment readingOrder="0"/>
    </xf>
    <xf borderId="14" fillId="0" fontId="14" numFmtId="10" xfId="0" applyAlignment="1" applyBorder="1" applyFont="1" applyNumberFormat="1">
      <alignment readingOrder="0"/>
    </xf>
    <xf borderId="0" fillId="0" fontId="27" numFmtId="0" xfId="0" applyAlignment="1" applyFont="1">
      <alignment readingOrder="0"/>
    </xf>
    <xf borderId="0" fillId="2" fontId="33" numFmtId="10" xfId="0" applyAlignment="1" applyFont="1" applyNumberFormat="1">
      <alignment readingOrder="0"/>
    </xf>
    <xf borderId="15" fillId="0" fontId="21" numFmtId="0" xfId="0" applyAlignment="1" applyBorder="1" applyFont="1">
      <alignment readingOrder="0" vertical="bottom"/>
    </xf>
    <xf borderId="15" fillId="0" fontId="2" numFmtId="0" xfId="0" applyAlignment="1" applyBorder="1" applyFont="1">
      <alignment readingOrder="0"/>
    </xf>
    <xf borderId="15" fillId="0" fontId="2" numFmtId="10" xfId="0" applyAlignment="1" applyBorder="1" applyFont="1" applyNumberFormat="1">
      <alignment readingOrder="0"/>
    </xf>
    <xf borderId="15" fillId="0" fontId="19" numFmtId="0" xfId="0" applyAlignment="1" applyBorder="1" applyFont="1">
      <alignment vertical="bottom"/>
    </xf>
    <xf borderId="15" fillId="0" fontId="2" numFmtId="9" xfId="0" applyAlignment="1" applyBorder="1" applyFont="1" applyNumberFormat="1">
      <alignment readingOrder="0"/>
    </xf>
    <xf borderId="16" fillId="0" fontId="21" numFmtId="0" xfId="0" applyAlignment="1" applyBorder="1" applyFont="1">
      <alignment horizontal="center" readingOrder="0" vertical="bottom"/>
    </xf>
    <xf borderId="17" fillId="0" fontId="34" numFmtId="0" xfId="0" applyBorder="1" applyFont="1"/>
    <xf borderId="18" fillId="0" fontId="34" numFmtId="0" xfId="0" applyBorder="1" applyFont="1"/>
    <xf borderId="19" fillId="0" fontId="19" numFmtId="0" xfId="0" applyAlignment="1" applyBorder="1" applyFont="1">
      <alignment readingOrder="0" vertical="bottom"/>
    </xf>
    <xf borderId="0" fillId="0" fontId="2" numFmtId="4" xfId="0" applyAlignment="1" applyFont="1" applyNumberFormat="1">
      <alignment readingOrder="0"/>
    </xf>
    <xf borderId="20" fillId="10" fontId="1" numFmtId="10" xfId="0" applyBorder="1" applyFill="1" applyFont="1" applyNumberFormat="1"/>
    <xf borderId="19" fillId="0" fontId="2" numFmtId="0" xfId="0" applyAlignment="1" applyBorder="1" applyFont="1">
      <alignment readingOrder="0"/>
    </xf>
    <xf borderId="21" fillId="0" fontId="2" numFmtId="0" xfId="0" applyBorder="1" applyFont="1"/>
    <xf borderId="22" fillId="0" fontId="19" numFmtId="0" xfId="0" applyAlignment="1" applyBorder="1" applyFont="1">
      <alignment readingOrder="0" vertical="bottom"/>
    </xf>
    <xf borderId="23" fillId="2" fontId="35" numFmtId="0" xfId="0" applyAlignment="1" applyBorder="1" applyFont="1">
      <alignment readingOrder="0"/>
    </xf>
    <xf borderId="23" fillId="0" fontId="2" numFmtId="0" xfId="0" applyBorder="1" applyFont="1"/>
    <xf borderId="24" fillId="0" fontId="2" numFmtId="0" xfId="0" applyBorder="1" applyFont="1"/>
    <xf borderId="0" fillId="2" fontId="36" numFmtId="10" xfId="0" applyAlignment="1" applyFont="1" applyNumberFormat="1">
      <alignment readingOrder="0"/>
    </xf>
    <xf borderId="0" fillId="0" fontId="37" numFmtId="0" xfId="0" applyAlignment="1" applyFont="1">
      <alignment readingOrder="0" vertical="bottom"/>
    </xf>
    <xf borderId="0" fillId="2" fontId="35" numFmtId="0" xfId="0" applyAlignment="1" applyFont="1">
      <alignment readingOrder="0"/>
    </xf>
    <xf borderId="0" fillId="0" fontId="2" numFmtId="10" xfId="0" applyFont="1" applyNumberFormat="1"/>
    <xf borderId="25" fillId="11" fontId="1" numFmtId="0" xfId="0" applyAlignment="1" applyBorder="1" applyFill="1" applyFont="1">
      <alignment readingOrder="0" vertical="top"/>
    </xf>
    <xf borderId="26" fillId="11" fontId="1" numFmtId="0" xfId="0" applyAlignment="1" applyBorder="1" applyFont="1">
      <alignment readingOrder="0" vertical="top"/>
    </xf>
    <xf borderId="27" fillId="0" fontId="2" numFmtId="0" xfId="0" applyAlignment="1" applyBorder="1" applyFont="1">
      <alignment readingOrder="0" vertical="top"/>
    </xf>
    <xf borderId="28" fillId="0" fontId="2" numFmtId="10" xfId="0" applyAlignment="1" applyBorder="1" applyFont="1" applyNumberFormat="1">
      <alignment readingOrder="0" vertical="top"/>
    </xf>
    <xf borderId="0" fillId="0" fontId="1" numFmtId="169" xfId="0" applyAlignment="1" applyFont="1" applyNumberFormat="1">
      <alignment readingOrder="0" vertical="top"/>
    </xf>
    <xf borderId="0" fillId="0" fontId="2" numFmtId="0" xfId="0" applyAlignment="1" applyFont="1">
      <alignment readingOrder="0" vertical="top"/>
    </xf>
    <xf borderId="27" fillId="0" fontId="2" numFmtId="0" xfId="0" applyAlignment="1" applyBorder="1" applyFont="1">
      <alignment readingOrder="0"/>
    </xf>
    <xf borderId="28" fillId="0" fontId="2" numFmtId="169" xfId="0" applyAlignment="1" applyBorder="1" applyFont="1" applyNumberFormat="1">
      <alignment readingOrder="0"/>
    </xf>
    <xf borderId="28" fillId="0" fontId="2" numFmtId="10" xfId="0" applyAlignment="1" applyBorder="1" applyFont="1" applyNumberFormat="1">
      <alignment readingOrder="0"/>
    </xf>
    <xf borderId="0" fillId="0" fontId="38" numFmtId="0" xfId="0" applyAlignment="1" applyFont="1">
      <alignment readingOrder="0"/>
    </xf>
    <xf borderId="29" fillId="11" fontId="1" numFmtId="0" xfId="0" applyAlignment="1" applyBorder="1" applyFont="1">
      <alignment readingOrder="0"/>
    </xf>
    <xf borderId="30" fillId="11" fontId="1" numFmtId="169" xfId="0" applyBorder="1" applyFont="1" applyNumberFormat="1"/>
    <xf borderId="0" fillId="0" fontId="2" numFmtId="166" xfId="0" applyAlignment="1" applyFont="1" applyNumberFormat="1">
      <alignment readingOrder="0"/>
    </xf>
    <xf borderId="0" fillId="0" fontId="2" numFmtId="169" xfId="0" applyFont="1" applyNumberFormat="1"/>
    <xf borderId="0" fillId="0" fontId="6" numFmtId="0" xfId="0" applyAlignment="1" applyFont="1">
      <alignment shrinkToFit="0" vertical="bottom" wrapText="0"/>
    </xf>
    <xf borderId="0" fillId="0" fontId="39" numFmtId="0" xfId="0" applyAlignment="1" applyFont="1">
      <alignment readingOrder="0"/>
    </xf>
    <xf borderId="0" fillId="0" fontId="6" numFmtId="0" xfId="0" applyAlignment="1" applyFont="1">
      <alignment horizontal="right" readingOrder="0" shrinkToFit="0" vertical="bottom" wrapText="0"/>
    </xf>
    <xf borderId="0" fillId="0" fontId="40" numFmtId="0" xfId="0" applyAlignment="1" applyFont="1">
      <alignment horizontal="right" readingOrder="0" shrinkToFit="0" vertical="bottom" wrapText="0"/>
    </xf>
    <xf borderId="0" fillId="0" fontId="40" numFmtId="9" xfId="0" applyAlignment="1" applyFont="1" applyNumberFormat="1">
      <alignment horizontal="right" readingOrder="0" shrinkToFit="0" vertical="bottom" wrapText="0"/>
    </xf>
    <xf borderId="0" fillId="0" fontId="2" numFmtId="10" xfId="0" applyAlignment="1" applyFont="1" applyNumberFormat="1">
      <alignment readingOrder="0" vertical="top"/>
    </xf>
    <xf borderId="0" fillId="0" fontId="6" numFmtId="9" xfId="0" applyAlignment="1" applyFont="1" applyNumberFormat="1">
      <alignment horizontal="right" readingOrder="0" shrinkToFit="0" vertical="bottom" wrapText="0"/>
    </xf>
    <xf borderId="0" fillId="0" fontId="41" numFmtId="10" xfId="0" applyAlignment="1" applyFont="1" applyNumberFormat="1">
      <alignment readingOrder="0"/>
    </xf>
    <xf borderId="0" fillId="0" fontId="6" numFmtId="10" xfId="0" applyAlignment="1" applyFont="1" applyNumberFormat="1">
      <alignment shrinkToFit="0" vertical="bottom" wrapText="0"/>
    </xf>
    <xf borderId="0" fillId="0" fontId="39" numFmtId="0" xfId="0" applyFont="1"/>
    <xf borderId="0" fillId="0" fontId="39" numFmtId="10" xfId="0" applyFont="1" applyNumberFormat="1"/>
    <xf borderId="28" fillId="0" fontId="2" numFmtId="171" xfId="0" applyBorder="1" applyFont="1" applyNumberFormat="1"/>
    <xf borderId="0" fillId="0" fontId="33" numFmtId="10" xfId="0" applyAlignment="1" applyFont="1" applyNumberFormat="1">
      <alignment readingOrder="0"/>
    </xf>
    <xf borderId="28" fillId="0" fontId="2" numFmtId="0" xfId="0" applyAlignment="1" applyBorder="1" applyFont="1">
      <alignment readingOrder="0"/>
    </xf>
    <xf borderId="0" fillId="0" fontId="2" numFmtId="166" xfId="0" applyAlignment="1" applyFont="1" applyNumberFormat="1">
      <alignment readingOrder="0" vertical="top"/>
    </xf>
    <xf borderId="28" fillId="0" fontId="2" numFmtId="4" xfId="0" applyAlignment="1" applyBorder="1" applyFont="1" applyNumberFormat="1">
      <alignment horizontal="right" readingOrder="0"/>
    </xf>
    <xf borderId="29" fillId="11" fontId="1" numFmtId="0" xfId="0" applyAlignment="1" applyBorder="1" applyFont="1">
      <alignment readingOrder="0" vertical="top"/>
    </xf>
    <xf borderId="30" fillId="11" fontId="1" numFmtId="172" xfId="0" applyBorder="1" applyFont="1" applyNumberFormat="1"/>
    <xf borderId="0" fillId="0" fontId="2" numFmtId="166" xfId="0" applyFont="1" applyNumberFormat="1"/>
    <xf borderId="28" fillId="0" fontId="2" numFmtId="3" xfId="0" applyAlignment="1" applyBorder="1" applyFont="1" applyNumberFormat="1">
      <alignment readingOrder="0"/>
    </xf>
    <xf borderId="0" fillId="0" fontId="42" numFmtId="0" xfId="0" applyAlignment="1" applyFont="1">
      <alignment readingOrder="0"/>
    </xf>
    <xf borderId="25" fillId="0" fontId="2" numFmtId="0" xfId="0" applyAlignment="1" applyBorder="1" applyFont="1">
      <alignment readingOrder="0"/>
    </xf>
    <xf borderId="26" fillId="0" fontId="2" numFmtId="0" xfId="0" applyAlignment="1" applyBorder="1" applyFont="1">
      <alignment readingOrder="0"/>
    </xf>
    <xf borderId="28" fillId="0" fontId="2" numFmtId="3" xfId="0" applyBorder="1" applyFont="1" applyNumberFormat="1"/>
    <xf borderId="28" fillId="0" fontId="2" numFmtId="0" xfId="0" applyBorder="1" applyFont="1"/>
    <xf borderId="28" fillId="0" fontId="2" numFmtId="169" xfId="0" applyBorder="1" applyFont="1" applyNumberFormat="1"/>
    <xf borderId="0" fillId="11" fontId="1" numFmtId="0" xfId="0" applyAlignment="1" applyFont="1">
      <alignment readingOrder="0" vertical="top"/>
    </xf>
    <xf borderId="28" fillId="11" fontId="1" numFmtId="172" xfId="0" applyBorder="1" applyFont="1" applyNumberFormat="1"/>
    <xf borderId="29" fillId="0" fontId="2" numFmtId="0" xfId="0" applyAlignment="1" applyBorder="1" applyFont="1">
      <alignment readingOrder="0"/>
    </xf>
    <xf borderId="30" fillId="0" fontId="2" numFmtId="0" xfId="0" applyBorder="1" applyFont="1"/>
    <xf borderId="0" fillId="0" fontId="7" numFmtId="10" xfId="0" applyAlignment="1" applyFont="1" applyNumberFormat="1">
      <alignment horizontal="right" readingOrder="0" shrinkToFit="0" vertical="bottom" wrapText="0"/>
    </xf>
    <xf borderId="30" fillId="0" fontId="1" numFmtId="0" xfId="0" applyBorder="1" applyFont="1"/>
    <xf borderId="11" fillId="11" fontId="1" numFmtId="0" xfId="0" applyAlignment="1" applyBorder="1" applyFont="1">
      <alignment readingOrder="0" vertical="top"/>
    </xf>
    <xf borderId="30" fillId="11" fontId="1" numFmtId="172" xfId="0" applyAlignment="1" applyBorder="1" applyFont="1" applyNumberFormat="1">
      <alignment readingOrder="0" vertical="top"/>
    </xf>
    <xf borderId="0" fillId="0" fontId="2" numFmtId="3" xfId="0" applyFont="1" applyNumberFormat="1"/>
    <xf borderId="28" fillId="0" fontId="2" numFmtId="10" xfId="0" applyBorder="1" applyFont="1" applyNumberFormat="1"/>
    <xf borderId="28" fillId="0" fontId="2" numFmtId="172" xfId="0" applyBorder="1" applyFont="1" applyNumberFormat="1"/>
    <xf borderId="29" fillId="7" fontId="1" numFmtId="0" xfId="0" applyAlignment="1" applyBorder="1" applyFont="1">
      <alignment readingOrder="0"/>
    </xf>
    <xf borderId="30" fillId="7" fontId="1" numFmtId="169" xfId="0" applyAlignment="1" applyBorder="1" applyFont="1" applyNumberFormat="1">
      <alignment readingOrder="0"/>
    </xf>
    <xf borderId="0" fillId="0" fontId="8" numFmtId="0" xfId="0" applyAlignment="1" applyFont="1">
      <alignment readingOrder="0" shrinkToFit="0" vertical="bottom" wrapText="0"/>
    </xf>
    <xf borderId="0" fillId="0" fontId="4" numFmtId="0" xfId="0" applyFont="1"/>
    <xf borderId="9" fillId="0" fontId="20" numFmtId="0" xfId="0" applyAlignment="1" applyBorder="1" applyFont="1">
      <alignment vertical="bottom"/>
    </xf>
    <xf borderId="9" fillId="0" fontId="20" numFmtId="0" xfId="0" applyAlignment="1" applyBorder="1" applyFont="1">
      <alignment horizontal="right" vertical="bottom"/>
    </xf>
    <xf borderId="9" fillId="0" fontId="20" numFmtId="10" xfId="0" applyAlignment="1" applyBorder="1" applyFont="1" applyNumberFormat="1">
      <alignment horizontal="right" vertical="bottom"/>
    </xf>
    <xf borderId="9" fillId="0" fontId="20" numFmtId="0" xfId="0" applyAlignment="1" applyBorder="1" applyFont="1">
      <alignment vertical="bottom"/>
    </xf>
    <xf borderId="9" fillId="0" fontId="20" numFmtId="0" xfId="0" applyAlignment="1" applyBorder="1" applyFont="1">
      <alignment horizontal="right" vertical="bottom"/>
    </xf>
    <xf borderId="0" fillId="0" fontId="2" numFmtId="0" xfId="0" applyAlignment="1" applyFont="1">
      <alignment readingOrder="0"/>
    </xf>
    <xf borderId="0" fillId="0" fontId="23" numFmtId="0" xfId="0" applyAlignment="1" applyFont="1">
      <alignment vertical="bottom"/>
    </xf>
    <xf borderId="0" fillId="0" fontId="23" numFmtId="0" xfId="0" applyAlignment="1" applyFont="1">
      <alignment horizontal="right" vertical="bottom"/>
    </xf>
    <xf borderId="0" fillId="0" fontId="19" numFmtId="0" xfId="0" applyAlignment="1" applyFont="1">
      <alignment vertical="bottom"/>
    </xf>
    <xf borderId="0" fillId="0" fontId="23" numFmtId="10" xfId="0" applyAlignment="1" applyFont="1" applyNumberFormat="1">
      <alignment horizontal="right" vertical="bottom"/>
    </xf>
    <xf borderId="0" fillId="0" fontId="19" numFmtId="4" xfId="0" applyAlignment="1" applyFont="1" applyNumberFormat="1">
      <alignment vertical="bottom"/>
    </xf>
    <xf borderId="0" fillId="0" fontId="2" numFmtId="169" xfId="0" applyAlignment="1" applyFont="1" applyNumberFormat="1">
      <alignment readingOrder="0"/>
    </xf>
    <xf borderId="0" fillId="0" fontId="2" numFmtId="171" xfId="0" applyFont="1" applyNumberFormat="1"/>
    <xf borderId="0" fillId="0" fontId="43" numFmtId="0" xfId="0" applyAlignment="1" applyFont="1">
      <alignment readingOrder="0"/>
    </xf>
    <xf borderId="0" fillId="0" fontId="2" numFmtId="10" xfId="0" applyAlignment="1" applyFont="1" applyNumberFormat="1">
      <alignment readingOrder="0"/>
    </xf>
    <xf borderId="0" fillId="0" fontId="2" numFmtId="4" xfId="0" applyAlignment="1" applyFont="1" applyNumberFormat="1">
      <alignment horizontal="right" readingOrder="0"/>
    </xf>
    <xf borderId="0" fillId="0" fontId="2" numFmtId="173" xfId="0" applyFont="1" applyNumberFormat="1"/>
    <xf borderId="0" fillId="0" fontId="2" numFmtId="3" xfId="0" applyAlignment="1" applyFont="1" applyNumberFormat="1">
      <alignment readingOrder="0"/>
    </xf>
    <xf borderId="0" fillId="0" fontId="2" numFmtId="0" xfId="0" applyAlignment="1" applyFont="1">
      <alignment readingOrder="0" shrinkToFit="0" wrapText="0"/>
    </xf>
    <xf borderId="31" fillId="0" fontId="6" numFmtId="0" xfId="0" applyAlignment="1" applyBorder="1" applyFont="1">
      <alignment readingOrder="0" shrinkToFit="0" vertical="bottom" wrapText="0"/>
    </xf>
    <xf borderId="32" fillId="0" fontId="6" numFmtId="0" xfId="0" applyAlignment="1" applyBorder="1" applyFont="1">
      <alignment readingOrder="0" shrinkToFit="0" vertical="bottom" wrapText="0"/>
    </xf>
    <xf borderId="0" fillId="0" fontId="15" numFmtId="0" xfId="0" applyAlignment="1" applyFont="1">
      <alignment readingOrder="0"/>
    </xf>
    <xf borderId="33" fillId="0" fontId="2" numFmtId="166" xfId="0" applyAlignment="1" applyBorder="1" applyFont="1" applyNumberFormat="1">
      <alignment readingOrder="0"/>
    </xf>
    <xf borderId="34" fillId="0" fontId="2" numFmtId="169" xfId="0" applyAlignment="1" applyBorder="1" applyFont="1" applyNumberFormat="1">
      <alignment readingOrder="0" vertical="top"/>
    </xf>
    <xf borderId="34" fillId="0" fontId="2" numFmtId="169" xfId="0" applyAlignment="1" applyBorder="1" applyFont="1" applyNumberFormat="1">
      <alignment readingOrder="0"/>
    </xf>
    <xf borderId="34" fillId="0" fontId="2" numFmtId="10" xfId="0" applyAlignment="1" applyBorder="1" applyFont="1" applyNumberFormat="1">
      <alignment readingOrder="0"/>
    </xf>
    <xf borderId="34" fillId="0" fontId="4" numFmtId="10" xfId="0" applyAlignment="1" applyBorder="1" applyFont="1" applyNumberFormat="1">
      <alignment readingOrder="0"/>
    </xf>
    <xf borderId="25" fillId="12" fontId="1" numFmtId="0" xfId="0" applyAlignment="1" applyBorder="1" applyFill="1" applyFont="1">
      <alignment readingOrder="0"/>
    </xf>
    <xf borderId="33" fillId="12" fontId="1" numFmtId="169" xfId="0" applyBorder="1" applyFont="1" applyNumberFormat="1"/>
    <xf borderId="27" fillId="0" fontId="2" numFmtId="0" xfId="0" applyBorder="1" applyFont="1"/>
    <xf borderId="34" fillId="0" fontId="2" numFmtId="0" xfId="0" applyBorder="1" applyFont="1"/>
    <xf borderId="34" fillId="0" fontId="2" numFmtId="166" xfId="0" applyAlignment="1" applyBorder="1" applyFont="1" applyNumberFormat="1">
      <alignment readingOrder="0"/>
    </xf>
    <xf borderId="34" fillId="0" fontId="4" numFmtId="0" xfId="0" applyAlignment="1" applyBorder="1" applyFont="1">
      <alignment horizontal="right" readingOrder="0"/>
    </xf>
    <xf borderId="27" fillId="0" fontId="44" numFmtId="0" xfId="0" applyAlignment="1" applyBorder="1" applyFont="1">
      <alignment readingOrder="0"/>
    </xf>
    <xf borderId="34" fillId="0" fontId="44" numFmtId="1" xfId="0" applyAlignment="1" applyBorder="1" applyFont="1" applyNumberFormat="1">
      <alignment readingOrder="0"/>
    </xf>
    <xf borderId="34" fillId="0" fontId="2" numFmtId="0" xfId="0" applyAlignment="1" applyBorder="1" applyFont="1">
      <alignment readingOrder="0"/>
    </xf>
    <xf borderId="34" fillId="0" fontId="2" numFmtId="166" xfId="0" applyBorder="1" applyFont="1" applyNumberFormat="1"/>
    <xf borderId="33" fillId="0" fontId="1" numFmtId="166" xfId="0" applyBorder="1" applyFont="1" applyNumberFormat="1"/>
    <xf borderId="27" fillId="0" fontId="4" numFmtId="0" xfId="0" applyAlignment="1" applyBorder="1" applyFont="1">
      <alignment readingOrder="0"/>
    </xf>
    <xf borderId="27" fillId="0" fontId="4" numFmtId="0" xfId="0" applyAlignment="1" applyBorder="1" applyFont="1">
      <alignment readingOrder="0" vertical="top"/>
    </xf>
    <xf borderId="34" fillId="0" fontId="2" numFmtId="166" xfId="0" applyAlignment="1" applyBorder="1" applyFont="1" applyNumberFormat="1">
      <alignment readingOrder="0" vertical="top"/>
    </xf>
    <xf borderId="0" fillId="0" fontId="45" numFmtId="0" xfId="0" applyAlignment="1" applyFont="1">
      <alignment readingOrder="0" vertical="top"/>
    </xf>
    <xf borderId="33" fillId="0" fontId="2" numFmtId="166" xfId="0" applyBorder="1" applyFont="1" applyNumberFormat="1"/>
    <xf borderId="34" fillId="0" fontId="2" numFmtId="4" xfId="0" applyAlignment="1" applyBorder="1" applyFont="1" applyNumberFormat="1">
      <alignment readingOrder="0"/>
    </xf>
    <xf borderId="34" fillId="0" fontId="2" numFmtId="4" xfId="0" applyBorder="1" applyFont="1" applyNumberFormat="1"/>
    <xf borderId="0" fillId="0" fontId="44" numFmtId="0" xfId="0" applyAlignment="1" applyFont="1">
      <alignment readingOrder="0"/>
    </xf>
    <xf borderId="33" fillId="0" fontId="2" numFmtId="4" xfId="0" applyBorder="1" applyFont="1" applyNumberFormat="1"/>
    <xf borderId="35" fillId="13" fontId="2" numFmtId="0" xfId="0" applyAlignment="1" applyBorder="1" applyFill="1" applyFont="1">
      <alignment readingOrder="0"/>
    </xf>
    <xf borderId="36" fillId="13" fontId="2" numFmtId="166" xfId="0" applyBorder="1" applyFont="1" applyNumberFormat="1"/>
    <xf borderId="0" fillId="14" fontId="4" numFmtId="0" xfId="0" applyAlignment="1" applyFill="1" applyFont="1">
      <alignment readingOrder="0"/>
    </xf>
    <xf borderId="0" fillId="14" fontId="2" numFmtId="0" xfId="0" applyFont="1"/>
    <xf borderId="0" fillId="14" fontId="2" numFmtId="166" xfId="0" applyFont="1" applyNumberFormat="1"/>
    <xf borderId="0" fillId="0" fontId="7" numFmtId="0" xfId="0" applyAlignment="1" applyFont="1">
      <alignment shrinkToFit="0" vertical="bottom" wrapText="0"/>
    </xf>
    <xf borderId="25" fillId="15" fontId="8" numFmtId="0" xfId="0" applyAlignment="1" applyBorder="1" applyFill="1" applyFont="1">
      <alignment horizontal="center" readingOrder="0" shrinkToFit="0" vertical="bottom" wrapText="0"/>
    </xf>
    <xf borderId="10" fillId="0" fontId="34" numFmtId="0" xfId="0" applyBorder="1" applyFont="1"/>
    <xf borderId="26" fillId="0" fontId="34" numFmtId="0" xfId="0" applyBorder="1" applyFont="1"/>
    <xf borderId="25" fillId="16" fontId="2" numFmtId="0" xfId="0" applyAlignment="1" applyBorder="1" applyFill="1" applyFont="1">
      <alignment horizontal="center" readingOrder="0"/>
    </xf>
    <xf borderId="25" fillId="0" fontId="2" numFmtId="0" xfId="0" applyAlignment="1" applyBorder="1" applyFont="1">
      <alignment horizontal="center" readingOrder="0"/>
    </xf>
    <xf borderId="0" fillId="0" fontId="2" numFmtId="0" xfId="0" applyAlignment="1" applyFont="1">
      <alignment horizontal="center" readingOrder="0"/>
    </xf>
    <xf borderId="27" fillId="15" fontId="8" numFmtId="0" xfId="0" applyAlignment="1" applyBorder="1" applyFont="1">
      <alignment readingOrder="0" shrinkToFit="0" vertical="bottom" wrapText="0"/>
    </xf>
    <xf borderId="0" fillId="15" fontId="10" numFmtId="0" xfId="0" applyAlignment="1" applyFont="1">
      <alignment readingOrder="0" shrinkToFit="0" vertical="bottom" wrapText="0"/>
    </xf>
    <xf borderId="28" fillId="15" fontId="8" numFmtId="0" xfId="0" applyAlignment="1" applyBorder="1" applyFont="1">
      <alignment readingOrder="0" shrinkToFit="0" vertical="bottom" wrapText="0"/>
    </xf>
    <xf borderId="27" fillId="15" fontId="2" numFmtId="0" xfId="0" applyAlignment="1" applyBorder="1" applyFont="1">
      <alignment readingOrder="0"/>
    </xf>
    <xf borderId="0" fillId="15" fontId="2" numFmtId="0" xfId="0" applyAlignment="1" applyFont="1">
      <alignment readingOrder="0"/>
    </xf>
    <xf borderId="28" fillId="15" fontId="2" numFmtId="0" xfId="0" applyAlignment="1" applyBorder="1" applyFont="1">
      <alignment readingOrder="0"/>
    </xf>
    <xf borderId="37" fillId="0" fontId="2" numFmtId="0" xfId="0" applyAlignment="1" applyBorder="1" applyFont="1">
      <alignment readingOrder="0"/>
    </xf>
    <xf borderId="31" fillId="0" fontId="2" numFmtId="0" xfId="0" applyAlignment="1" applyBorder="1" applyFont="1">
      <alignment readingOrder="0"/>
    </xf>
    <xf borderId="32" fillId="0" fontId="2" numFmtId="0" xfId="0" applyAlignment="1" applyBorder="1" applyFont="1">
      <alignment readingOrder="0"/>
    </xf>
    <xf borderId="27" fillId="0" fontId="7" numFmtId="0" xfId="0" applyAlignment="1" applyBorder="1" applyFont="1">
      <alignment shrinkToFit="0" vertical="bottom" wrapText="0"/>
    </xf>
    <xf borderId="27" fillId="0" fontId="7" numFmtId="0" xfId="0" applyAlignment="1" applyBorder="1" applyFont="1">
      <alignment readingOrder="0" shrinkToFit="0" vertical="bottom" wrapText="0"/>
    </xf>
    <xf borderId="0" fillId="0" fontId="7" numFmtId="9" xfId="0" applyAlignment="1" applyFont="1" applyNumberFormat="1">
      <alignment horizontal="right" readingOrder="0" shrinkToFit="0" vertical="bottom" wrapText="0"/>
    </xf>
    <xf borderId="28" fillId="0" fontId="7" numFmtId="171" xfId="0" applyAlignment="1" applyBorder="1" applyFont="1" applyNumberFormat="1">
      <alignment horizontal="right" shrinkToFit="0" vertical="bottom" wrapText="0"/>
    </xf>
    <xf borderId="28" fillId="0" fontId="2" numFmtId="170" xfId="0" applyBorder="1" applyFont="1" applyNumberFormat="1"/>
    <xf borderId="37" fillId="17" fontId="1" numFmtId="0" xfId="0" applyAlignment="1" applyBorder="1" applyFill="1" applyFont="1">
      <alignment readingOrder="0"/>
    </xf>
    <xf borderId="31" fillId="17" fontId="1" numFmtId="0" xfId="0" applyBorder="1" applyFont="1"/>
    <xf borderId="31" fillId="17" fontId="1" numFmtId="10" xfId="0" applyBorder="1" applyFont="1" applyNumberFormat="1"/>
    <xf borderId="26" fillId="17" fontId="1" numFmtId="174" xfId="0" applyBorder="1" applyFont="1" applyNumberFormat="1"/>
    <xf borderId="11" fillId="0" fontId="2" numFmtId="0" xfId="0" applyBorder="1" applyFont="1"/>
    <xf borderId="30" fillId="0" fontId="2" numFmtId="10" xfId="0" applyBorder="1" applyFont="1" applyNumberFormat="1"/>
    <xf borderId="0" fillId="0" fontId="5" numFmtId="9" xfId="0" applyAlignment="1" applyFont="1" applyNumberFormat="1">
      <alignment horizontal="right" readingOrder="0" shrinkToFit="0" vertical="bottom" wrapText="0"/>
    </xf>
    <xf borderId="10" fillId="0" fontId="2" numFmtId="0" xfId="0" applyAlignment="1" applyBorder="1" applyFont="1">
      <alignment readingOrder="0"/>
    </xf>
    <xf borderId="28" fillId="0" fontId="5" numFmtId="171" xfId="0" applyAlignment="1" applyBorder="1" applyFont="1" applyNumberFormat="1">
      <alignment horizontal="center" readingOrder="0" shrinkToFit="0" vertical="bottom" wrapText="0"/>
    </xf>
    <xf borderId="37" fillId="15" fontId="2" numFmtId="0" xfId="0" applyAlignment="1" applyBorder="1" applyFont="1">
      <alignment horizontal="center" readingOrder="0"/>
    </xf>
    <xf borderId="32" fillId="0" fontId="34" numFmtId="0" xfId="0" applyBorder="1" applyFont="1"/>
    <xf borderId="25" fillId="0" fontId="19" numFmtId="0" xfId="0" applyAlignment="1" applyBorder="1" applyFont="1">
      <alignment vertical="bottom"/>
    </xf>
    <xf borderId="26" fillId="0" fontId="19" numFmtId="0" xfId="0" applyAlignment="1" applyBorder="1" applyFont="1">
      <alignment vertical="bottom"/>
    </xf>
    <xf borderId="27" fillId="0" fontId="19" numFmtId="0" xfId="0" applyAlignment="1" applyBorder="1" applyFont="1">
      <alignment vertical="bottom"/>
    </xf>
    <xf borderId="28" fillId="0" fontId="19" numFmtId="0" xfId="0" applyAlignment="1" applyBorder="1" applyFont="1">
      <alignment horizontal="right" vertical="bottom"/>
    </xf>
    <xf borderId="10" fillId="0" fontId="2" numFmtId="0" xfId="0" applyBorder="1" applyFont="1"/>
    <xf borderId="10" fillId="0" fontId="2" numFmtId="10" xfId="0" applyBorder="1" applyFont="1" applyNumberFormat="1"/>
    <xf borderId="28" fillId="0" fontId="7" numFmtId="171" xfId="0" applyAlignment="1" applyBorder="1" applyFont="1" applyNumberFormat="1">
      <alignment horizontal="right" readingOrder="0" shrinkToFit="0" vertical="bottom" wrapText="0"/>
    </xf>
    <xf borderId="0" fillId="0" fontId="10" numFmtId="0" xfId="0" applyAlignment="1" applyFont="1">
      <alignment shrinkToFit="0" vertical="bottom" wrapText="0"/>
    </xf>
    <xf borderId="37" fillId="18" fontId="10" numFmtId="0" xfId="0" applyAlignment="1" applyBorder="1" applyFill="1" applyFont="1">
      <alignment readingOrder="0" shrinkToFit="0" vertical="bottom" wrapText="0"/>
    </xf>
    <xf borderId="31" fillId="18" fontId="10" numFmtId="0" xfId="0" applyAlignment="1" applyBorder="1" applyFont="1">
      <alignment horizontal="right" shrinkToFit="0" vertical="bottom" wrapText="0"/>
    </xf>
    <xf borderId="31" fillId="18" fontId="10" numFmtId="3" xfId="0" applyAlignment="1" applyBorder="1" applyFont="1" applyNumberFormat="1">
      <alignment horizontal="right" shrinkToFit="0" vertical="bottom" wrapText="0"/>
    </xf>
    <xf borderId="31" fillId="18" fontId="10" numFmtId="9" xfId="0" applyAlignment="1" applyBorder="1" applyFont="1" applyNumberFormat="1">
      <alignment horizontal="right" shrinkToFit="0" vertical="bottom" wrapText="0"/>
    </xf>
    <xf borderId="32" fillId="18" fontId="10" numFmtId="169" xfId="0" applyAlignment="1" applyBorder="1" applyFont="1" applyNumberFormat="1">
      <alignment horizontal="right" shrinkToFit="0" vertical="bottom" wrapText="0"/>
    </xf>
    <xf borderId="0" fillId="0" fontId="7" numFmtId="9" xfId="0" applyAlignment="1" applyFont="1" applyNumberFormat="1">
      <alignment shrinkToFit="0" vertical="bottom" wrapText="0"/>
    </xf>
    <xf borderId="37" fillId="0" fontId="46" numFmtId="0" xfId="0" applyAlignment="1" applyBorder="1" applyFont="1">
      <alignment readingOrder="0" vertical="bottom"/>
    </xf>
    <xf borderId="31" fillId="0" fontId="46" numFmtId="0" xfId="0" applyAlignment="1" applyBorder="1" applyFont="1">
      <alignment readingOrder="0" vertical="bottom"/>
    </xf>
    <xf borderId="10" fillId="0" fontId="46" numFmtId="0" xfId="0" applyAlignment="1" applyBorder="1" applyFont="1">
      <alignment readingOrder="0" vertical="bottom"/>
    </xf>
    <xf borderId="32" fillId="0" fontId="46" numFmtId="0" xfId="0" applyAlignment="1" applyBorder="1" applyFont="1">
      <alignment readingOrder="0" vertical="bottom"/>
    </xf>
    <xf borderId="13" fillId="0" fontId="2" numFmtId="0" xfId="0" applyAlignment="1" applyBorder="1" applyFont="1">
      <alignment readingOrder="0"/>
    </xf>
    <xf borderId="27" fillId="0" fontId="46" numFmtId="0" xfId="0" applyAlignment="1" applyBorder="1" applyFont="1">
      <alignment readingOrder="0" vertical="bottom"/>
    </xf>
    <xf borderId="0" fillId="0" fontId="46" numFmtId="0" xfId="0" applyAlignment="1" applyFont="1">
      <alignment horizontal="right" readingOrder="0" vertical="bottom"/>
    </xf>
    <xf borderId="0" fillId="0" fontId="46" numFmtId="9" xfId="0" applyAlignment="1" applyFont="1" applyNumberFormat="1">
      <alignment horizontal="right" readingOrder="0" vertical="bottom"/>
    </xf>
    <xf borderId="10" fillId="0" fontId="46" numFmtId="10" xfId="0" applyAlignment="1" applyBorder="1" applyFont="1" applyNumberFormat="1">
      <alignment horizontal="right" readingOrder="0" vertical="top"/>
    </xf>
    <xf borderId="0" fillId="0" fontId="46" numFmtId="10" xfId="0" applyAlignment="1" applyFont="1" applyNumberFormat="1">
      <alignment horizontal="right" readingOrder="0" vertical="bottom"/>
    </xf>
    <xf borderId="13" fillId="0" fontId="2" numFmtId="0" xfId="0" applyBorder="1" applyFont="1"/>
    <xf borderId="29" fillId="0" fontId="46" numFmtId="0" xfId="0" applyAlignment="1" applyBorder="1" applyFont="1">
      <alignment readingOrder="0" vertical="bottom"/>
    </xf>
    <xf borderId="11" fillId="0" fontId="46" numFmtId="0" xfId="0" applyAlignment="1" applyBorder="1" applyFont="1">
      <alignment horizontal="right" readingOrder="0" vertical="bottom"/>
    </xf>
    <xf borderId="11" fillId="0" fontId="46" numFmtId="10" xfId="0" applyAlignment="1" applyBorder="1" applyFont="1" applyNumberFormat="1">
      <alignment horizontal="right" readingOrder="0" vertical="bottom"/>
    </xf>
    <xf borderId="11" fillId="0" fontId="46" numFmtId="10" xfId="0" applyAlignment="1" applyBorder="1" applyFont="1" applyNumberFormat="1">
      <alignment horizontal="right" readingOrder="0" vertical="top"/>
    </xf>
    <xf borderId="38" fillId="0" fontId="2" numFmtId="0" xfId="0" applyBorder="1" applyFont="1"/>
    <xf borderId="0" fillId="0" fontId="46" numFmtId="0" xfId="0" applyAlignment="1" applyFont="1">
      <alignment vertical="bottom"/>
    </xf>
    <xf borderId="25" fillId="0" fontId="19" numFmtId="0" xfId="0" applyAlignment="1" applyBorder="1" applyFont="1">
      <alignment vertical="bottom"/>
    </xf>
    <xf borderId="26" fillId="0" fontId="19" numFmtId="2" xfId="0" applyAlignment="1" applyBorder="1" applyFont="1" applyNumberFormat="1">
      <alignment horizontal="right" vertical="bottom"/>
    </xf>
    <xf borderId="0" fillId="0" fontId="46" numFmtId="0" xfId="0" applyAlignment="1" applyFont="1">
      <alignment readingOrder="0" vertical="bottom"/>
    </xf>
    <xf borderId="0" fillId="0" fontId="9" numFmtId="0" xfId="0" applyAlignment="1" applyFont="1">
      <alignment readingOrder="0" vertical="bottom"/>
    </xf>
    <xf borderId="27" fillId="0" fontId="19" numFmtId="4" xfId="0" applyAlignment="1" applyBorder="1" applyFont="1" applyNumberFormat="1">
      <alignment vertical="bottom"/>
    </xf>
    <xf borderId="28" fillId="0" fontId="19" numFmtId="166" xfId="0" applyAlignment="1" applyBorder="1" applyFont="1" applyNumberFormat="1">
      <alignment horizontal="right" vertical="bottom"/>
    </xf>
    <xf borderId="28" fillId="0" fontId="19" numFmtId="10" xfId="0" applyAlignment="1" applyBorder="1" applyFont="1" applyNumberFormat="1">
      <alignment horizontal="right" vertical="bottom"/>
    </xf>
    <xf borderId="28" fillId="0" fontId="19" numFmtId="9" xfId="0" applyAlignment="1" applyBorder="1" applyFont="1" applyNumberFormat="1">
      <alignment horizontal="right" vertical="bottom"/>
    </xf>
    <xf borderId="29" fillId="0" fontId="19" numFmtId="0" xfId="0" applyAlignment="1" applyBorder="1" applyFont="1">
      <alignment vertical="bottom"/>
    </xf>
    <xf borderId="30" fillId="0" fontId="19" numFmtId="0" xfId="0" applyAlignment="1" applyBorder="1" applyFont="1">
      <alignment horizontal="right" vertical="bottom"/>
    </xf>
    <xf borderId="29" fillId="11" fontId="21" numFmtId="0" xfId="0" applyAlignment="1" applyBorder="1" applyFont="1">
      <alignment vertical="bottom"/>
    </xf>
    <xf borderId="30" fillId="11" fontId="21" numFmtId="0" xfId="0" applyAlignment="1" applyBorder="1" applyFont="1">
      <alignment horizontal="right" vertical="bottom"/>
    </xf>
    <xf borderId="0" fillId="0" fontId="2" numFmtId="9" xfId="0" applyAlignment="1" applyFont="1" applyNumberFormat="1">
      <alignment readingOrder="0"/>
    </xf>
    <xf borderId="0" fillId="19" fontId="25" numFmtId="0" xfId="0" applyAlignment="1" applyFill="1" applyFont="1">
      <alignment readingOrder="0"/>
    </xf>
    <xf borderId="0" fillId="19" fontId="2" numFmtId="0" xfId="0" applyFont="1"/>
    <xf borderId="0" fillId="19" fontId="19" numFmtId="0" xfId="0" applyAlignment="1" applyFont="1">
      <alignment vertical="bottom"/>
    </xf>
    <xf borderId="0" fillId="2" fontId="47" numFmtId="0" xfId="0" applyAlignment="1" applyFont="1">
      <alignment vertical="bottom"/>
    </xf>
    <xf borderId="1" fillId="5" fontId="18" numFmtId="0" xfId="0" applyAlignment="1" applyBorder="1" applyFont="1">
      <alignment readingOrder="0" vertical="bottom"/>
    </xf>
    <xf borderId="3" fillId="0" fontId="34" numFmtId="0" xfId="0" applyBorder="1" applyFont="1"/>
    <xf borderId="4" fillId="2" fontId="21" numFmtId="0" xfId="0" applyAlignment="1" applyBorder="1" applyFont="1">
      <alignment readingOrder="0" vertical="bottom"/>
    </xf>
    <xf borderId="5" fillId="2" fontId="19" numFmtId="10" xfId="0" applyAlignment="1" applyBorder="1" applyFont="1" applyNumberFormat="1">
      <alignment vertical="bottom"/>
    </xf>
    <xf borderId="4" fillId="2" fontId="22" numFmtId="0" xfId="0" applyAlignment="1" applyBorder="1" applyFont="1">
      <alignment horizontal="left" vertical="bottom"/>
    </xf>
    <xf borderId="5" fillId="2" fontId="22" numFmtId="166" xfId="0" applyAlignment="1" applyBorder="1" applyFont="1" applyNumberFormat="1">
      <alignment vertical="bottom"/>
    </xf>
    <xf borderId="0" fillId="2" fontId="19" numFmtId="0" xfId="0" applyAlignment="1" applyFont="1">
      <alignment vertical="bottom"/>
    </xf>
    <xf borderId="39" fillId="2" fontId="22" numFmtId="0" xfId="0" applyAlignment="1" applyBorder="1" applyFont="1">
      <alignment horizontal="left" vertical="bottom"/>
    </xf>
    <xf borderId="40" fillId="2" fontId="22" numFmtId="166" xfId="0" applyAlignment="1" applyBorder="1" applyFont="1" applyNumberFormat="1">
      <alignment vertical="bottom"/>
    </xf>
    <xf borderId="5" fillId="2" fontId="22" numFmtId="10" xfId="0" applyAlignment="1" applyBorder="1" applyFont="1" applyNumberFormat="1">
      <alignment vertical="bottom"/>
    </xf>
    <xf borderId="4" fillId="2" fontId="22" numFmtId="0" xfId="0" applyAlignment="1" applyBorder="1" applyFont="1">
      <alignment horizontal="center" readingOrder="0" vertical="bottom"/>
    </xf>
    <xf borderId="4" fillId="2" fontId="22" numFmtId="0" xfId="0" applyAlignment="1" applyBorder="1" applyFont="1">
      <alignment readingOrder="0" vertical="bottom"/>
    </xf>
    <xf borderId="5" fillId="2" fontId="22" numFmtId="166" xfId="0" applyAlignment="1" applyBorder="1" applyFont="1" applyNumberFormat="1">
      <alignment readingOrder="0" vertical="bottom"/>
    </xf>
    <xf borderId="39" fillId="2" fontId="22" numFmtId="0" xfId="0" applyAlignment="1" applyBorder="1" applyFont="1">
      <alignment readingOrder="0" vertical="bottom"/>
    </xf>
    <xf borderId="40" fillId="2" fontId="22" numFmtId="166" xfId="0" applyAlignment="1" applyBorder="1" applyFont="1" applyNumberFormat="1">
      <alignment readingOrder="0" vertical="bottom"/>
    </xf>
    <xf borderId="4" fillId="0" fontId="22" numFmtId="0" xfId="0" applyAlignment="1" applyBorder="1" applyFont="1">
      <alignment readingOrder="0"/>
    </xf>
    <xf borderId="5" fillId="0" fontId="22" numFmtId="166" xfId="0" applyBorder="1" applyFont="1" applyNumberFormat="1"/>
    <xf borderId="4" fillId="0" fontId="22" numFmtId="0" xfId="0" applyBorder="1" applyFont="1"/>
    <xf borderId="5" fillId="0" fontId="22" numFmtId="0" xfId="0" applyBorder="1" applyFont="1"/>
    <xf borderId="41" fillId="0" fontId="12" numFmtId="0" xfId="0" applyAlignment="1" applyBorder="1" applyFont="1">
      <alignment readingOrder="0"/>
    </xf>
    <xf borderId="42" fillId="0" fontId="22" numFmtId="10" xfId="0" applyBorder="1" applyFont="1" applyNumberFormat="1"/>
    <xf borderId="35" fillId="17" fontId="1" numFmtId="0" xfId="0" applyAlignment="1" applyBorder="1" applyFont="1">
      <alignment readingOrder="0"/>
    </xf>
    <xf borderId="43" fillId="17" fontId="1" numFmtId="169" xfId="0" applyBorder="1" applyFont="1" applyNumberFormat="1"/>
    <xf borderId="0" fillId="12" fontId="2" numFmtId="0" xfId="0" applyFont="1"/>
    <xf borderId="0" fillId="0" fontId="28" numFmtId="169" xfId="0" applyFont="1" applyNumberFormat="1"/>
    <xf borderId="0" fillId="17" fontId="2" numFmtId="0" xfId="0" applyAlignment="1" applyFont="1">
      <alignment readingOrder="0"/>
    </xf>
    <xf borderId="0" fillId="17" fontId="2" numFmtId="169" xfId="0" applyFont="1" applyNumberFormat="1"/>
    <xf borderId="35" fillId="19" fontId="25" numFmtId="0" xfId="0" applyAlignment="1" applyBorder="1" applyFont="1">
      <alignment readingOrder="0"/>
    </xf>
    <xf borderId="43" fillId="0" fontId="34" numFmtId="0" xfId="0" applyBorder="1" applyFont="1"/>
    <xf borderId="28" fillId="0" fontId="2" numFmtId="0" xfId="0" applyAlignment="1" applyBorder="1" applyFont="1">
      <alignment horizontal="right" readingOrder="0"/>
    </xf>
    <xf borderId="28" fillId="0" fontId="2" numFmtId="166" xfId="0" applyBorder="1" applyFont="1" applyNumberFormat="1"/>
    <xf borderId="0" fillId="2" fontId="47" numFmtId="0" xfId="0" applyAlignment="1" applyFont="1">
      <alignment readingOrder="0"/>
    </xf>
    <xf borderId="11" fillId="0" fontId="2" numFmtId="0" xfId="0" applyAlignment="1" applyBorder="1" applyFont="1">
      <alignment readingOrder="0"/>
    </xf>
    <xf borderId="44" fillId="0" fontId="2" numFmtId="0" xfId="0" applyAlignment="1" applyBorder="1" applyFont="1">
      <alignment readingOrder="0"/>
    </xf>
    <xf borderId="45" fillId="0" fontId="2" numFmtId="169" xfId="0" applyBorder="1" applyFont="1" applyNumberFormat="1"/>
    <xf borderId="0" fillId="0" fontId="43" numFmtId="169" xfId="0" applyAlignment="1" applyFont="1" applyNumberFormat="1">
      <alignment readingOrder="0"/>
    </xf>
    <xf borderId="46" fillId="20" fontId="25" numFmtId="0" xfId="0" applyAlignment="1" applyBorder="1" applyFill="1" applyFont="1">
      <alignment readingOrder="0"/>
    </xf>
    <xf borderId="47" fillId="20" fontId="25" numFmtId="166" xfId="0" applyBorder="1" applyFont="1" applyNumberFormat="1"/>
    <xf borderId="1" fillId="19" fontId="48" numFmtId="0" xfId="0" applyAlignment="1" applyBorder="1" applyFont="1">
      <alignment readingOrder="0"/>
    </xf>
    <xf borderId="2" fillId="19" fontId="2" numFmtId="0" xfId="0" applyBorder="1" applyFont="1"/>
    <xf borderId="3" fillId="19" fontId="2" numFmtId="0" xfId="0" applyBorder="1" applyFont="1"/>
    <xf borderId="0" fillId="2" fontId="49" numFmtId="0" xfId="0" applyAlignment="1" applyFont="1">
      <alignment readingOrder="0"/>
    </xf>
    <xf borderId="48" fillId="0" fontId="2" numFmtId="0" xfId="0" applyBorder="1" applyFont="1"/>
    <xf borderId="49" fillId="0" fontId="1" numFmtId="0" xfId="0" applyAlignment="1" applyBorder="1" applyFont="1">
      <alignment horizontal="center" readingOrder="0"/>
    </xf>
    <xf borderId="50" fillId="0" fontId="1" numFmtId="0" xfId="0" applyAlignment="1" applyBorder="1" applyFont="1">
      <alignment horizontal="center" readingOrder="0"/>
    </xf>
    <xf borderId="48" fillId="0" fontId="2" numFmtId="0" xfId="0" applyAlignment="1" applyBorder="1" applyFont="1">
      <alignment readingOrder="0"/>
    </xf>
    <xf borderId="49" fillId="0" fontId="2" numFmtId="166" xfId="0" applyBorder="1" applyFont="1" applyNumberFormat="1"/>
    <xf borderId="50" fillId="0" fontId="2" numFmtId="166" xfId="0" applyBorder="1" applyFont="1" applyNumberFormat="1"/>
    <xf borderId="51" fillId="0" fontId="2" numFmtId="166" xfId="0" applyBorder="1" applyFont="1" applyNumberFormat="1"/>
    <xf borderId="6" fillId="0" fontId="2" numFmtId="0" xfId="0" applyAlignment="1" applyBorder="1" applyFont="1">
      <alignment readingOrder="0"/>
    </xf>
    <xf borderId="52" fillId="0" fontId="1" numFmtId="166" xfId="0" applyBorder="1" applyFont="1" applyNumberFormat="1"/>
    <xf borderId="35" fillId="20" fontId="25" numFmtId="0" xfId="0" applyAlignment="1" applyBorder="1" applyFont="1">
      <alignment readingOrder="0"/>
    </xf>
    <xf borderId="43" fillId="20" fontId="25" numFmtId="166" xfId="0" applyBorder="1" applyFont="1" applyNumberFormat="1"/>
    <xf borderId="0" fillId="19" fontId="48" numFmtId="0" xfId="0" applyAlignment="1" applyFont="1">
      <alignment readingOrder="0"/>
    </xf>
    <xf borderId="14" fillId="0" fontId="2" numFmtId="0" xfId="0" applyAlignment="1" applyBorder="1" applyFont="1">
      <alignment readingOrder="0"/>
    </xf>
    <xf borderId="14" fillId="0" fontId="2" numFmtId="172" xfId="0" applyBorder="1" applyFont="1" applyNumberFormat="1"/>
    <xf borderId="14" fillId="0" fontId="2" numFmtId="166" xfId="0" applyBorder="1" applyFont="1" applyNumberFormat="1"/>
    <xf borderId="14" fillId="0" fontId="2" numFmtId="4" xfId="0" applyBorder="1" applyFont="1" applyNumberFormat="1"/>
    <xf borderId="1" fillId="0" fontId="2" numFmtId="0" xfId="0" applyAlignment="1" applyBorder="1" applyFont="1">
      <alignment readingOrder="0"/>
    </xf>
    <xf borderId="3" fillId="0" fontId="2" numFmtId="166" xfId="0" applyBorder="1" applyFont="1" applyNumberFormat="1"/>
    <xf borderId="40" fillId="0" fontId="2" numFmtId="172" xfId="0" applyBorder="1" applyFont="1" applyNumberFormat="1"/>
    <xf borderId="5" fillId="0" fontId="1" numFmtId="166" xfId="0" applyBorder="1" applyFont="1" applyNumberFormat="1"/>
    <xf borderId="53" fillId="0" fontId="2" numFmtId="0" xfId="0" applyAlignment="1" applyBorder="1" applyFont="1">
      <alignment readingOrder="0"/>
    </xf>
    <xf borderId="54" fillId="0" fontId="2" numFmtId="166" xfId="0" applyBorder="1" applyFont="1" applyNumberFormat="1"/>
    <xf borderId="6" fillId="0" fontId="29" numFmtId="0" xfId="0" applyAlignment="1" applyBorder="1" applyFont="1">
      <alignment readingOrder="0"/>
    </xf>
    <xf borderId="8" fillId="0" fontId="29" numFmtId="169" xfId="0" applyBorder="1" applyFont="1" applyNumberFormat="1"/>
    <xf borderId="1" fillId="0" fontId="1" numFmtId="0" xfId="0" applyAlignment="1" applyBorder="1" applyFont="1">
      <alignment horizontal="center" readingOrder="0"/>
    </xf>
    <xf borderId="2" fillId="0" fontId="34" numFmtId="0" xfId="0" applyBorder="1" applyFont="1"/>
    <xf borderId="55" fillId="0" fontId="2" numFmtId="0" xfId="0" applyBorder="1" applyFont="1"/>
    <xf borderId="56" fillId="12" fontId="1" numFmtId="0" xfId="0" applyAlignment="1" applyBorder="1" applyFont="1">
      <alignment horizontal="center" readingOrder="0"/>
    </xf>
    <xf borderId="57" fillId="0" fontId="34" numFmtId="0" xfId="0" applyBorder="1" applyFont="1"/>
    <xf borderId="58" fillId="0" fontId="34" numFmtId="0" xfId="0" applyBorder="1" applyFont="1"/>
    <xf borderId="59" fillId="12" fontId="1" numFmtId="0" xfId="0" applyAlignment="1" applyBorder="1" applyFont="1">
      <alignment horizontal="center" readingOrder="0" vertical="center"/>
    </xf>
    <xf borderId="60" fillId="5" fontId="2" numFmtId="0" xfId="0" applyBorder="1" applyFont="1"/>
    <xf borderId="60" fillId="5" fontId="2" numFmtId="10" xfId="0" applyBorder="1" applyFont="1" applyNumberFormat="1"/>
    <xf borderId="61" fillId="5" fontId="2" numFmtId="10" xfId="0" applyBorder="1" applyFont="1" applyNumberFormat="1"/>
    <xf borderId="62" fillId="0" fontId="2" numFmtId="0" xfId="0" applyAlignment="1" applyBorder="1" applyFont="1">
      <alignment readingOrder="0"/>
    </xf>
    <xf borderId="63" fillId="0" fontId="2" numFmtId="173" xfId="0" applyAlignment="1" applyBorder="1" applyFont="1" applyNumberFormat="1">
      <alignment readingOrder="0"/>
    </xf>
    <xf borderId="64" fillId="0" fontId="34" numFmtId="0" xfId="0" applyBorder="1" applyFont="1"/>
    <xf borderId="60" fillId="0" fontId="2" numFmtId="10" xfId="0" applyAlignment="1" applyBorder="1" applyFont="1" applyNumberFormat="1">
      <alignment readingOrder="0"/>
    </xf>
    <xf borderId="61" fillId="0" fontId="2" numFmtId="10" xfId="0" applyAlignment="1" applyBorder="1" applyFont="1" applyNumberFormat="1">
      <alignment readingOrder="0"/>
    </xf>
    <xf borderId="65" fillId="0" fontId="2" numFmtId="0" xfId="0" applyAlignment="1" applyBorder="1" applyFont="1">
      <alignment readingOrder="0"/>
    </xf>
    <xf borderId="66" fillId="0" fontId="2" numFmtId="10" xfId="0" applyAlignment="1" applyBorder="1" applyFont="1" applyNumberFormat="1">
      <alignment readingOrder="0"/>
    </xf>
    <xf borderId="65" fillId="0" fontId="2" numFmtId="0" xfId="0" applyBorder="1" applyFont="1"/>
    <xf borderId="66" fillId="0" fontId="2" numFmtId="0" xfId="0" applyBorder="1" applyFont="1"/>
    <xf borderId="66" fillId="0" fontId="2" numFmtId="166" xfId="0" applyBorder="1" applyFont="1" applyNumberFormat="1"/>
    <xf borderId="67" fillId="0" fontId="34" numFmtId="0" xfId="0" applyBorder="1" applyFont="1"/>
    <xf borderId="52" fillId="5" fontId="2" numFmtId="10" xfId="0" applyBorder="1" applyFont="1" applyNumberFormat="1"/>
    <xf borderId="52" fillId="0" fontId="2" numFmtId="10" xfId="0" applyAlignment="1" applyBorder="1" applyFont="1" applyNumberFormat="1">
      <alignment readingOrder="0"/>
    </xf>
    <xf borderId="68" fillId="0" fontId="2" numFmtId="10" xfId="0" applyAlignment="1" applyBorder="1" applyFont="1" applyNumberFormat="1">
      <alignment readingOrder="0"/>
    </xf>
    <xf borderId="66" fillId="0" fontId="43" numFmtId="10" xfId="0" applyBorder="1" applyFont="1" applyNumberFormat="1"/>
    <xf borderId="69" fillId="20" fontId="25" numFmtId="0" xfId="0" applyAlignment="1" applyBorder="1" applyFont="1">
      <alignment readingOrder="0"/>
    </xf>
    <xf borderId="70" fillId="20" fontId="50" numFmtId="166" xfId="0" applyBorder="1" applyFont="1" applyNumberFormat="1"/>
    <xf borderId="49" fillId="21" fontId="2" numFmtId="0" xfId="0" applyBorder="1" applyFill="1" applyFont="1"/>
    <xf borderId="49" fillId="21" fontId="1" numFmtId="9" xfId="0" applyAlignment="1" applyBorder="1" applyFont="1" applyNumberFormat="1">
      <alignment horizontal="center" readingOrder="0"/>
    </xf>
    <xf borderId="49" fillId="21" fontId="1" numFmtId="0" xfId="0" applyAlignment="1" applyBorder="1" applyFont="1">
      <alignment horizontal="center" readingOrder="0"/>
    </xf>
    <xf borderId="49" fillId="0" fontId="2" numFmtId="10" xfId="0" applyBorder="1" applyFont="1" applyNumberFormat="1"/>
    <xf borderId="71" fillId="0" fontId="2" numFmtId="0" xfId="0" applyBorder="1" applyFont="1"/>
    <xf borderId="72" fillId="0" fontId="2" numFmtId="0" xfId="0" applyAlignment="1" applyBorder="1" applyFont="1">
      <alignment readingOrder="0"/>
    </xf>
    <xf borderId="73" fillId="0" fontId="2" numFmtId="0" xfId="0" applyAlignment="1" applyBorder="1" applyFont="1">
      <alignment readingOrder="0"/>
    </xf>
    <xf borderId="74" fillId="0" fontId="2" numFmtId="0" xfId="0" applyAlignment="1" applyBorder="1" applyFont="1">
      <alignment readingOrder="0"/>
    </xf>
    <xf borderId="49" fillId="0" fontId="43" numFmtId="166" xfId="0" applyBorder="1" applyFont="1" applyNumberFormat="1"/>
    <xf borderId="75" fillId="0" fontId="43" numFmtId="166" xfId="0" applyBorder="1" applyFont="1" applyNumberFormat="1"/>
    <xf borderId="76" fillId="0" fontId="2" numFmtId="0" xfId="0" applyAlignment="1" applyBorder="1" applyFont="1">
      <alignment readingOrder="0"/>
    </xf>
    <xf borderId="77" fillId="0" fontId="2" numFmtId="166" xfId="0" applyBorder="1" applyFont="1" applyNumberFormat="1"/>
    <xf borderId="77" fillId="0" fontId="2" numFmtId="0" xfId="0" applyBorder="1" applyFont="1"/>
    <xf borderId="78" fillId="0" fontId="2" numFmtId="0" xfId="0" applyBorder="1" applyFont="1"/>
    <xf borderId="62" fillId="5" fontId="48" numFmtId="0" xfId="0" applyAlignment="1" applyBorder="1" applyFont="1">
      <alignment readingOrder="0"/>
    </xf>
    <xf borderId="79" fillId="0" fontId="34" numFmtId="0" xfId="0" applyBorder="1" applyFont="1"/>
    <xf borderId="79" fillId="5" fontId="2" numFmtId="0" xfId="0" applyBorder="1" applyFont="1"/>
    <xf borderId="63" fillId="5" fontId="2" numFmtId="0" xfId="0" applyBorder="1" applyFont="1"/>
    <xf borderId="65" fillId="5" fontId="1" numFmtId="0" xfId="0" applyAlignment="1" applyBorder="1" applyFont="1">
      <alignment readingOrder="0"/>
    </xf>
    <xf borderId="0" fillId="5" fontId="1" numFmtId="0" xfId="0" applyAlignment="1" applyFont="1">
      <alignment readingOrder="0"/>
    </xf>
    <xf borderId="66" fillId="5" fontId="1" numFmtId="0" xfId="0" applyAlignment="1" applyBorder="1" applyFont="1">
      <alignment readingOrder="0"/>
    </xf>
    <xf borderId="76" fillId="0" fontId="2" numFmtId="172" xfId="0" applyBorder="1" applyFont="1" applyNumberFormat="1"/>
    <xf borderId="77" fillId="0" fontId="2" numFmtId="4" xfId="0" applyBorder="1" applyFont="1" applyNumberFormat="1"/>
    <xf borderId="78" fillId="0" fontId="2" numFmtId="166" xfId="0" applyBorder="1" applyFont="1" applyNumberFormat="1"/>
    <xf borderId="63" fillId="0" fontId="2" numFmtId="166" xfId="0" applyBorder="1" applyFont="1" applyNumberFormat="1"/>
    <xf borderId="80" fillId="0" fontId="2" numFmtId="172" xfId="0" applyBorder="1" applyFont="1" applyNumberFormat="1"/>
    <xf borderId="65" fillId="0" fontId="1" numFmtId="0" xfId="0" applyAlignment="1" applyBorder="1" applyFont="1">
      <alignment readingOrder="0"/>
    </xf>
    <xf borderId="66" fillId="0" fontId="1" numFmtId="166" xfId="0" applyBorder="1" applyFont="1" applyNumberFormat="1"/>
    <xf borderId="81" fillId="0" fontId="2" numFmtId="0" xfId="0" applyAlignment="1" applyBorder="1" applyFont="1">
      <alignment readingOrder="0"/>
    </xf>
    <xf borderId="82" fillId="0" fontId="2" numFmtId="166" xfId="0" applyBorder="1" applyFont="1" applyNumberFormat="1"/>
    <xf borderId="76" fillId="0" fontId="1" numFmtId="0" xfId="0" applyAlignment="1" applyBorder="1" applyFont="1">
      <alignment readingOrder="0"/>
    </xf>
    <xf borderId="78" fillId="0" fontId="1" numFmtId="10" xfId="0" applyBorder="1" applyFont="1" applyNumberFormat="1"/>
    <xf borderId="0" fillId="3" fontId="1" numFmtId="0" xfId="0" applyAlignment="1" applyFont="1">
      <alignment readingOrder="0"/>
    </xf>
    <xf borderId="0" fillId="3" fontId="1" numFmtId="0" xfId="0" applyAlignment="1" applyFont="1">
      <alignment horizontal="right" readingOrder="0"/>
    </xf>
    <xf borderId="83" fillId="0" fontId="2" numFmtId="0" xfId="0" applyAlignment="1" applyBorder="1" applyFont="1">
      <alignment readingOrder="0"/>
    </xf>
    <xf borderId="84" fillId="0" fontId="2" numFmtId="0" xfId="0" applyBorder="1" applyFont="1"/>
    <xf borderId="85" fillId="0" fontId="2" numFmtId="0" xfId="0" applyBorder="1" applyFont="1"/>
    <xf borderId="86" fillId="0" fontId="2" numFmtId="0" xfId="0" applyAlignment="1" applyBorder="1" applyFont="1">
      <alignment readingOrder="0"/>
    </xf>
    <xf borderId="87" fillId="0" fontId="2" numFmtId="166" xfId="0" applyAlignment="1" applyBorder="1" applyFont="1" applyNumberFormat="1">
      <alignment readingOrder="0"/>
    </xf>
    <xf borderId="87" fillId="0" fontId="2" numFmtId="10" xfId="0" applyAlignment="1" applyBorder="1" applyFont="1" applyNumberFormat="1">
      <alignment readingOrder="0"/>
    </xf>
    <xf borderId="87" fillId="0" fontId="2" numFmtId="10" xfId="0" applyBorder="1" applyFont="1" applyNumberFormat="1"/>
    <xf borderId="88" fillId="0" fontId="2" numFmtId="0" xfId="0" applyAlignment="1" applyBorder="1" applyFont="1">
      <alignment readingOrder="0"/>
    </xf>
    <xf borderId="89" fillId="0" fontId="2" numFmtId="0" xfId="0" applyBorder="1" applyFont="1"/>
    <xf borderId="89" fillId="0" fontId="2" numFmtId="4" xfId="0" applyBorder="1" applyFont="1" applyNumberFormat="1"/>
    <xf borderId="90" fillId="0" fontId="2" numFmtId="4" xfId="0" applyBorder="1" applyFont="1" applyNumberFormat="1"/>
    <xf borderId="0" fillId="0" fontId="2" numFmtId="175" xfId="0" applyAlignment="1" applyFont="1" applyNumberFormat="1">
      <alignment readingOrder="0"/>
    </xf>
    <xf borderId="87" fillId="0" fontId="2" numFmtId="175" xfId="0" applyAlignment="1" applyBorder="1" applyFont="1" applyNumberFormat="1">
      <alignment readingOrder="0"/>
    </xf>
    <xf borderId="0" fillId="0" fontId="2" numFmtId="4" xfId="0" applyFont="1" applyNumberFormat="1"/>
    <xf borderId="0" fillId="22" fontId="2" numFmtId="0" xfId="0" applyFill="1" applyFont="1"/>
    <xf borderId="0" fillId="0" fontId="28" numFmtId="0" xfId="0" applyAlignment="1" applyFont="1">
      <alignment readingOrder="0"/>
    </xf>
    <xf borderId="91" fillId="3" fontId="1" numFmtId="0" xfId="0" applyAlignment="1" applyBorder="1" applyFont="1">
      <alignment readingOrder="0"/>
    </xf>
    <xf borderId="92" fillId="3" fontId="1" numFmtId="0" xfId="0" applyAlignment="1" applyBorder="1" applyFont="1">
      <alignment readingOrder="0"/>
    </xf>
    <xf borderId="93" fillId="3" fontId="1" numFmtId="0" xfId="0" applyAlignment="1" applyBorder="1" applyFont="1">
      <alignment horizontal="right" readingOrder="0"/>
    </xf>
    <xf borderId="94" fillId="0" fontId="19" numFmtId="0" xfId="0" applyAlignment="1" applyBorder="1" applyFont="1">
      <alignment vertical="bottom"/>
    </xf>
    <xf borderId="84" fillId="0" fontId="2" numFmtId="4" xfId="0" applyBorder="1" applyFont="1" applyNumberFormat="1"/>
    <xf borderId="85" fillId="0" fontId="2" numFmtId="4" xfId="0" applyBorder="1" applyFont="1" applyNumberFormat="1"/>
    <xf borderId="95" fillId="0" fontId="19" numFmtId="0" xfId="0" applyAlignment="1" applyBorder="1" applyFont="1">
      <alignment vertical="bottom"/>
    </xf>
    <xf borderId="87" fillId="0" fontId="2" numFmtId="4" xfId="0" applyBorder="1" applyFont="1" applyNumberFormat="1"/>
    <xf borderId="96" fillId="0" fontId="2" numFmtId="0" xfId="0" applyAlignment="1" applyBorder="1" applyFont="1">
      <alignment readingOrder="0"/>
    </xf>
    <xf borderId="97" fillId="14" fontId="19" numFmtId="0" xfId="0" applyAlignment="1" applyBorder="1" applyFont="1">
      <alignment vertical="bottom"/>
    </xf>
    <xf borderId="0" fillId="14" fontId="2" numFmtId="4" xfId="0" applyFont="1" applyNumberFormat="1"/>
    <xf borderId="87" fillId="14" fontId="2" numFmtId="4" xfId="0" applyBorder="1" applyFont="1" applyNumberFormat="1"/>
    <xf borderId="83" fillId="3" fontId="1" numFmtId="0" xfId="0" applyAlignment="1" applyBorder="1" applyFont="1">
      <alignment readingOrder="0"/>
    </xf>
    <xf borderId="83" fillId="0" fontId="1" numFmtId="4" xfId="0" applyBorder="1" applyFont="1" applyNumberFormat="1"/>
    <xf borderId="84" fillId="0" fontId="1" numFmtId="4" xfId="0" applyBorder="1" applyFont="1" applyNumberFormat="1"/>
    <xf borderId="85" fillId="0" fontId="1" numFmtId="4" xfId="0" applyBorder="1" applyFont="1" applyNumberFormat="1"/>
    <xf borderId="88" fillId="3" fontId="1" numFmtId="0" xfId="0" applyAlignment="1" applyBorder="1" applyFont="1">
      <alignment readingOrder="0"/>
    </xf>
    <xf borderId="88" fillId="0" fontId="1" numFmtId="4" xfId="0" applyBorder="1" applyFont="1" applyNumberFormat="1"/>
    <xf borderId="89" fillId="0" fontId="1" numFmtId="4" xfId="0" applyBorder="1" applyFont="1" applyNumberFormat="1"/>
    <xf borderId="90" fillId="0" fontId="1" numFmtId="4" xfId="0" applyBorder="1" applyFont="1" applyNumberFormat="1"/>
    <xf borderId="94" fillId="3" fontId="1" numFmtId="0" xfId="0" applyAlignment="1" applyBorder="1" applyFont="1">
      <alignment readingOrder="0"/>
    </xf>
    <xf borderId="97" fillId="3" fontId="1" numFmtId="0" xfId="0" applyAlignment="1" applyBorder="1" applyFont="1">
      <alignment readingOrder="0"/>
    </xf>
    <xf borderId="11" fillId="2" fontId="51" numFmtId="0" xfId="0" applyAlignment="1" applyBorder="1" applyFont="1">
      <alignment horizontal="left" readingOrder="0"/>
    </xf>
    <xf borderId="11" fillId="2" fontId="47" numFmtId="0" xfId="0" applyAlignment="1" applyBorder="1" applyFont="1">
      <alignment readingOrder="0"/>
    </xf>
    <xf borderId="11" fillId="2" fontId="47" numFmtId="10" xfId="0" applyAlignment="1" applyBorder="1" applyFont="1" applyNumberFormat="1">
      <alignment readingOrder="0"/>
    </xf>
    <xf borderId="9" fillId="23" fontId="7" numFmtId="0" xfId="0" applyAlignment="1" applyBorder="1" applyFill="1" applyFont="1">
      <alignment horizontal="center" shrinkToFit="0" vertical="bottom" wrapText="0"/>
    </xf>
    <xf borderId="9" fillId="23" fontId="5" numFmtId="0" xfId="0" applyAlignment="1" applyBorder="1" applyFont="1">
      <alignment horizontal="center" readingOrder="0" shrinkToFit="0" vertical="bottom" wrapText="0"/>
    </xf>
    <xf borderId="9" fillId="23" fontId="7" numFmtId="0" xfId="0" applyAlignment="1" applyBorder="1" applyFont="1">
      <alignment horizontal="center" readingOrder="0" shrinkToFit="0" vertical="bottom" wrapText="0"/>
    </xf>
    <xf borderId="9" fillId="9" fontId="7" numFmtId="0" xfId="0" applyAlignment="1" applyBorder="1" applyFont="1">
      <alignment horizontal="center" readingOrder="0" shrinkToFit="0" vertical="bottom" wrapText="0"/>
    </xf>
    <xf borderId="9" fillId="9" fontId="7" numFmtId="10" xfId="0" applyAlignment="1" applyBorder="1" applyFont="1" applyNumberFormat="1">
      <alignment horizontal="center" readingOrder="0" shrinkToFit="0" vertical="bottom" wrapText="0"/>
    </xf>
    <xf borderId="9" fillId="9" fontId="4" numFmtId="0" xfId="0" applyAlignment="1" applyBorder="1" applyFont="1">
      <alignment horizontal="center" readingOrder="0"/>
    </xf>
    <xf borderId="9" fillId="9" fontId="4" numFmtId="0" xfId="0" applyAlignment="1" applyBorder="1" applyFont="1">
      <alignment horizontal="center"/>
    </xf>
    <xf borderId="9" fillId="9" fontId="4" numFmtId="10"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3.png"/><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1885950</xdr:colOff>
      <xdr:row>34</xdr:row>
      <xdr:rowOff>114300</xdr:rowOff>
    </xdr:from>
    <xdr:ext cx="2952750" cy="361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609600</xdr:colOff>
      <xdr:row>47</xdr:row>
      <xdr:rowOff>133350</xdr:rowOff>
    </xdr:from>
    <xdr:ext cx="2686050" cy="3619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1352550</xdr:colOff>
      <xdr:row>61</xdr:row>
      <xdr:rowOff>219075</xdr:rowOff>
    </xdr:from>
    <xdr:ext cx="6686550" cy="343852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514350</xdr:colOff>
      <xdr:row>103</xdr:row>
      <xdr:rowOff>76200</xdr:rowOff>
    </xdr:from>
    <xdr:ext cx="7648575" cy="465772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23</xdr:row>
      <xdr:rowOff>47625</xdr:rowOff>
    </xdr:from>
    <xdr:ext cx="5181600" cy="12763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114300</xdr:colOff>
      <xdr:row>27</xdr:row>
      <xdr:rowOff>209550</xdr:rowOff>
    </xdr:from>
    <xdr:ext cx="7258050" cy="2409825"/>
    <xdr:sp>
      <xdr:nvSpPr>
        <xdr:cNvPr id="3" name="Shape 3"/>
        <xdr:cNvSpPr txBox="1"/>
      </xdr:nvSpPr>
      <xdr:spPr>
        <a:xfrm>
          <a:off x="375575" y="1664750"/>
          <a:ext cx="7248000" cy="2391300"/>
        </a:xfrm>
        <a:prstGeom prst="rect">
          <a:avLst/>
        </a:prstGeom>
        <a:solidFill>
          <a:srgbClr val="F3F3F3"/>
        </a:solidFill>
        <a:ln>
          <a:noFill/>
        </a:ln>
      </xdr:spPr>
      <xdr:txBody>
        <a:bodyPr anchorCtr="0" anchor="t" bIns="91425" lIns="91425" spcFirstLastPara="1" rIns="91425" wrap="square" tIns="91425">
          <a:spAutoFit/>
        </a:bodyPr>
        <a:lstStyle/>
        <a:p>
          <a:pPr indent="0" lvl="0" marL="0" rtl="0" algn="l">
            <a:lnSpc>
              <a:spcPct val="115000"/>
            </a:lnSpc>
            <a:spcBef>
              <a:spcPts val="1200"/>
            </a:spcBef>
            <a:spcAft>
              <a:spcPts val="0"/>
            </a:spcAft>
            <a:buNone/>
          </a:pPr>
          <a:r>
            <a:rPr lang="en-US" sz="1100"/>
            <a:t>We calculated the terminal value using the Gordon Growth Model:</a:t>
          </a:r>
          <a:endParaRPr sz="1100"/>
        </a:p>
        <a:p>
          <a:pPr indent="-304800" lvl="0" marL="457200" rtl="0" algn="l">
            <a:lnSpc>
              <a:spcPct val="115000"/>
            </a:lnSpc>
            <a:spcBef>
              <a:spcPts val="1200"/>
            </a:spcBef>
            <a:spcAft>
              <a:spcPts val="0"/>
            </a:spcAft>
            <a:buClr>
              <a:srgbClr val="0F1115"/>
            </a:buClr>
            <a:buSzPts val="1200"/>
            <a:buFont typeface="Roboto"/>
            <a:buChar char="●"/>
          </a:pPr>
          <a:r>
            <a:rPr lang="en-US" sz="1200">
              <a:solidFill>
                <a:srgbClr val="0F1115"/>
              </a:solidFill>
              <a:highlight>
                <a:srgbClr val="FFFFFF"/>
              </a:highlight>
              <a:latin typeface="Roboto"/>
              <a:ea typeface="Roboto"/>
              <a:cs typeface="Roboto"/>
              <a:sym typeface="Roboto"/>
            </a:rPr>
            <a:t>TV = [FCFF₅ × (1 + g)] / (WACC - g)</a:t>
          </a:r>
          <a:endParaRPr sz="1100"/>
        </a:p>
        <a:p>
          <a:pPr indent="0" lvl="0" marL="0" rtl="0" algn="l">
            <a:lnSpc>
              <a:spcPct val="115000"/>
            </a:lnSpc>
            <a:spcBef>
              <a:spcPts val="1200"/>
            </a:spcBef>
            <a:spcAft>
              <a:spcPts val="0"/>
            </a:spcAft>
            <a:buNone/>
          </a:pPr>
          <a:r>
            <a:rPr b="1" lang="en-US" sz="1100"/>
            <a:t>Assumptions:</a:t>
          </a:r>
          <a:endParaRPr b="1" sz="1100"/>
        </a:p>
        <a:p>
          <a:pPr indent="-298450" lvl="0" marL="457200" rtl="0" algn="l">
            <a:lnSpc>
              <a:spcPct val="115000"/>
            </a:lnSpc>
            <a:spcBef>
              <a:spcPts val="1200"/>
            </a:spcBef>
            <a:spcAft>
              <a:spcPts val="0"/>
            </a:spcAft>
            <a:buSzPts val="1100"/>
            <a:buChar char="●"/>
          </a:pPr>
          <a:r>
            <a:rPr b="1" lang="en-US" sz="1100"/>
            <a:t>High-Growth Period (5 years):</a:t>
          </a:r>
          <a:r>
            <a:rPr lang="en-US" sz="1100"/>
            <a:t> We assume Costco will grow faster for the next 5 years as it expands and benefits from its strong brand and membership model.</a:t>
          </a:r>
          <a:br>
            <a:rPr lang="en-US" sz="1100"/>
          </a:br>
          <a:endParaRPr sz="1100"/>
        </a:p>
        <a:p>
          <a:pPr indent="-298450" lvl="0" marL="457200" rtl="0" algn="l">
            <a:lnSpc>
              <a:spcPct val="115000"/>
            </a:lnSpc>
            <a:spcBef>
              <a:spcPts val="0"/>
            </a:spcBef>
            <a:spcAft>
              <a:spcPts val="0"/>
            </a:spcAft>
            <a:buSzPts val="1100"/>
            <a:buChar char="●"/>
          </a:pPr>
          <a:r>
            <a:rPr b="1" lang="en-US" sz="1100"/>
            <a:t>Terminal Growth Rate (2.0665%):</a:t>
          </a:r>
          <a:r>
            <a:rPr lang="en-US" sz="1100"/>
            <a:t> After the high-growth period, we assume a steady growth of 2.0665% forever. This is slightly above US GDP growth, reflecting Costco’s ability to outperform the economy, but still below WACC (5.66%) to keep the calculation realistic. → didn’t use the 11% calculated </a:t>
          </a:r>
          <a:endParaRPr sz="1400"/>
        </a:p>
      </xdr:txBody>
    </xdr:sp>
    <xdr:clientData fLocksWithSheet="0"/>
  </xdr:oneCellAnchor>
  <xdr:oneCellAnchor>
    <xdr:from>
      <xdr:col>4</xdr:col>
      <xdr:colOff>600075</xdr:colOff>
      <xdr:row>27</xdr:row>
      <xdr:rowOff>47625</xdr:rowOff>
    </xdr:from>
    <xdr:ext cx="4152900" cy="409575"/>
    <xdr:sp>
      <xdr:nvSpPr>
        <xdr:cNvPr id="4" name="Shape 4"/>
        <xdr:cNvSpPr txBox="1"/>
      </xdr:nvSpPr>
      <xdr:spPr>
        <a:xfrm>
          <a:off x="1796725" y="1492200"/>
          <a:ext cx="5826600" cy="554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200">
              <a:solidFill>
                <a:srgbClr val="0F1115"/>
              </a:solidFill>
            </a:rPr>
            <a:t>Terminal Value (TV) = [FCFF at the end of the high-growth period * (1 + g)] / (WACC - g)</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finance.yahoo.com/quote/COST/"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y-ibisworld-com.lib-ezproxy.concordia.ca/us/en/industry/45291/at-a-glance" TargetMode="External"/><Relationship Id="rId2" Type="http://schemas.openxmlformats.org/officeDocument/2006/relationships/hyperlink" Target="https://fred.stlouisfed.org/series/GDPPOT"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fred.stlouisfed.org/series/BAMLC0A2CAA" TargetMode="External"/><Relationship Id="rId2" Type="http://schemas.openxmlformats.org/officeDocument/2006/relationships/hyperlink" Target="https://dbrs.morningstar.com/research/424815/costco-wholesale-corporation-rating-report" TargetMode="External"/><Relationship Id="rId3" Type="http://schemas.openxmlformats.org/officeDocument/2006/relationships/hyperlink" Target="https://pages.stern.nyu.edu/~adamodar/New_Home_Page/datafile/ctryprem.html" TargetMode="External"/><Relationship Id="rId4" Type="http://schemas.openxmlformats.org/officeDocument/2006/relationships/hyperlink" Target="https://dbrs.morningstar.com/research/424815/costco-wholesale-corporation-rating-report" TargetMode="External"/><Relationship Id="rId5" Type="http://schemas.openxmlformats.org/officeDocument/2006/relationships/hyperlink" Target="https://d18rn0p25nwr6d.cloudfront.net/CIK-0000909832/1d2e9494-f590-4908-8d5f-dac2a6a3f51d.pdf"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a.finance.yahoo.com/quote/COST/financials/" TargetMode="External"/><Relationship Id="rId2" Type="http://schemas.openxmlformats.org/officeDocument/2006/relationships/hyperlink" Target="https://fred.stlouisfed.org/series/BAMLC0A2CAA" TargetMode="External"/><Relationship Id="rId3" Type="http://schemas.openxmlformats.org/officeDocument/2006/relationships/hyperlink" Target="https://dbrs.morningstar.com/research/424815/costco-wholesale-corporation-rating-report" TargetMode="External"/><Relationship Id="rId4" Type="http://schemas.openxmlformats.org/officeDocument/2006/relationships/hyperlink" Target="https://d18rn0p25nwr6d.cloudfront.net/CIK-0000909832/1d2e9494-f590-4908-8d5f-dac2a6a3f51d.pdf" TargetMode="External"/><Relationship Id="rId5" Type="http://schemas.openxmlformats.org/officeDocument/2006/relationships/hyperlink" Target="https://d18rn0p25nwr6d.cloudfront.net/CIK-0000909832/1d2e9494-f590-4908-8d5f-dac2a6a3f51d.pdf"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pages.stern.nyu.edu/~adamodar/New_Home_Page/datafile/ctryprem.html"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ca.finance.yahoo.com/quote/CRRFY/financials/" TargetMode="External"/><Relationship Id="rId2" Type="http://schemas.openxmlformats.org/officeDocument/2006/relationships/hyperlink" Target="https://ca.finance.yahoo.com/quote/TSCDY/financials/" TargetMode="External"/><Relationship Id="rId3" Type="http://schemas.openxmlformats.org/officeDocument/2006/relationships/hyperlink" Target="https://ca.finance.yahoo.com/quote/0RI8.IL/financials/" TargetMode="External"/><Relationship Id="rId4" Type="http://schemas.openxmlformats.org/officeDocument/2006/relationships/hyperlink" Target="https://www.rewe-group.com/en/press-and-media/newsroom/press-releases/rewe-group-successfully-navigates-crisis-year-2022-and-stays-on-steady-course/?utm_source=chatgpt.com" TargetMode="External"/><Relationship Id="rId9" Type="http://schemas.openxmlformats.org/officeDocument/2006/relationships/drawing" Target="../drawings/drawing9.xml"/><Relationship Id="rId5" Type="http://schemas.openxmlformats.org/officeDocument/2006/relationships/hyperlink" Target="https://ca.finance.yahoo.com/quote/MRU.TO/financials/" TargetMode="External"/><Relationship Id="rId6" Type="http://schemas.openxmlformats.org/officeDocument/2006/relationships/hyperlink" Target="https://ca.finance.yahoo.com/quote/SUY1.HA/financials/" TargetMode="External"/><Relationship Id="rId7" Type="http://schemas.openxmlformats.org/officeDocument/2006/relationships/hyperlink" Target="https://ca.finance.yahoo.com/quote/MA6.DU/financials/" TargetMode="External"/><Relationship Id="rId8" Type="http://schemas.openxmlformats.org/officeDocument/2006/relationships/hyperlink" Target="https://ca.finance.yahoo.com/quote/BJ/financials/"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40.13"/>
    <col customWidth="1" min="2" max="2" width="25.75"/>
    <col customWidth="1" min="3" max="3" width="30.13"/>
    <col customWidth="1" min="4" max="4" width="23.88"/>
    <col customWidth="1" min="8" max="8" width="15.88"/>
    <col customWidth="1" min="10" max="10" width="19.38"/>
    <col customWidth="1" min="11" max="11" width="31.38"/>
    <col customWidth="1" min="12" max="12" width="24.63"/>
    <col customWidth="1" min="13" max="13" width="26.13"/>
    <col customWidth="1" min="14" max="14" width="38.88"/>
    <col customWidth="1" min="15" max="15" width="37.88"/>
    <col customWidth="1" min="16" max="16" width="18.38"/>
    <col customWidth="1" min="17" max="17" width="27.88"/>
    <col customWidth="1" min="18" max="18" width="34.38"/>
    <col customWidth="1" min="19" max="19" width="28.88"/>
  </cols>
  <sheetData>
    <row r="1">
      <c r="A1" s="1" t="s">
        <v>0</v>
      </c>
      <c r="B1" s="2"/>
      <c r="C1" s="2"/>
    </row>
    <row r="2">
      <c r="A2" s="3" t="s">
        <v>1</v>
      </c>
      <c r="B2" s="4">
        <v>2024.0</v>
      </c>
      <c r="C2" s="5">
        <v>2025.0</v>
      </c>
    </row>
    <row r="3">
      <c r="A3" s="6"/>
      <c r="C3" s="7"/>
    </row>
    <row r="4">
      <c r="A4" s="8" t="s">
        <v>2</v>
      </c>
      <c r="B4" s="9">
        <f>29032</f>
        <v>29032</v>
      </c>
      <c r="C4" s="7">
        <f>31909</f>
        <v>31909</v>
      </c>
    </row>
    <row r="5">
      <c r="A5" s="8" t="s">
        <v>3</v>
      </c>
      <c r="B5" s="9">
        <f>18647</f>
        <v>18647</v>
      </c>
      <c r="C5" s="7">
        <f>18116</f>
        <v>18116</v>
      </c>
    </row>
    <row r="6">
      <c r="A6" s="8" t="s">
        <v>4</v>
      </c>
      <c r="B6" s="9">
        <f>2721</f>
        <v>2721</v>
      </c>
      <c r="C6" s="7">
        <f>3203</f>
        <v>3203</v>
      </c>
    </row>
    <row r="7">
      <c r="A7" s="8" t="s">
        <v>5</v>
      </c>
      <c r="B7" s="9">
        <f>69831</f>
        <v>69831</v>
      </c>
      <c r="C7" s="7">
        <f>77099</f>
        <v>77099</v>
      </c>
    </row>
    <row r="8">
      <c r="A8" s="6"/>
      <c r="C8" s="7"/>
    </row>
    <row r="9">
      <c r="A9" s="8" t="s">
        <v>6</v>
      </c>
      <c r="B9" s="9">
        <f>222358</f>
        <v>222358</v>
      </c>
      <c r="C9" s="7">
        <f>239886</f>
        <v>239886</v>
      </c>
    </row>
    <row r="10">
      <c r="A10" s="10" t="s">
        <v>7</v>
      </c>
      <c r="B10" s="9">
        <f>254453</f>
        <v>254453</v>
      </c>
      <c r="C10" s="7">
        <f>275235</f>
        <v>275235</v>
      </c>
    </row>
    <row r="11">
      <c r="A11" s="8" t="s">
        <v>8</v>
      </c>
      <c r="B11" s="9">
        <f>9285</f>
        <v>9285</v>
      </c>
      <c r="C11" s="7">
        <f>10383</f>
        <v>10383</v>
      </c>
    </row>
    <row r="12">
      <c r="A12" s="8" t="s">
        <v>9</v>
      </c>
      <c r="B12" s="9">
        <f>249625</f>
        <v>249625</v>
      </c>
      <c r="C12" s="7">
        <f>269912</f>
        <v>269912</v>
      </c>
      <c r="D12" s="11"/>
    </row>
    <row r="13">
      <c r="A13" s="8" t="s">
        <v>10</v>
      </c>
      <c r="B13" s="9">
        <f t="shared" ref="B13:C13" si="1">B12-B9</f>
        <v>27267</v>
      </c>
      <c r="C13" s="7">
        <f t="shared" si="1"/>
        <v>30026</v>
      </c>
      <c r="D13" s="11"/>
    </row>
    <row r="14">
      <c r="A14" s="8"/>
      <c r="C14" s="7"/>
      <c r="D14" s="11"/>
    </row>
    <row r="15">
      <c r="A15" s="8" t="s">
        <v>11</v>
      </c>
      <c r="B15" s="9">
        <f>169</f>
        <v>169</v>
      </c>
      <c r="C15" s="7">
        <f>154</f>
        <v>154</v>
      </c>
      <c r="D15" s="11"/>
    </row>
    <row r="16">
      <c r="A16" s="12" t="s">
        <v>12</v>
      </c>
      <c r="B16" s="9">
        <f>634</f>
        <v>634</v>
      </c>
      <c r="C16" s="7">
        <f>589</f>
        <v>589</v>
      </c>
    </row>
    <row r="17">
      <c r="A17" s="8" t="s">
        <v>13</v>
      </c>
      <c r="B17" s="9">
        <f>9740</f>
        <v>9740</v>
      </c>
      <c r="C17" s="13">
        <f>10818</f>
        <v>10818</v>
      </c>
      <c r="E17" s="14"/>
      <c r="F17" s="14"/>
      <c r="G17" s="14"/>
      <c r="H17" s="14"/>
      <c r="I17" s="14"/>
      <c r="J17" s="14"/>
      <c r="K17" s="14"/>
      <c r="L17" s="14"/>
      <c r="M17" s="14"/>
      <c r="N17" s="14"/>
      <c r="O17" s="14"/>
      <c r="P17" s="14"/>
      <c r="Q17" s="14"/>
      <c r="R17" s="14"/>
      <c r="S17" s="14"/>
      <c r="T17" s="14"/>
      <c r="U17" s="14"/>
      <c r="V17" s="14"/>
      <c r="W17" s="14"/>
      <c r="X17" s="14"/>
      <c r="Y17" s="14"/>
      <c r="Z17" s="14"/>
    </row>
    <row r="18">
      <c r="A18" s="8" t="s">
        <v>14</v>
      </c>
      <c r="B18" s="9">
        <f>7367</f>
        <v>7367</v>
      </c>
      <c r="C18" s="7">
        <f>8099</f>
        <v>8099</v>
      </c>
    </row>
    <row r="19">
      <c r="A19" s="8"/>
      <c r="C19" s="7"/>
    </row>
    <row r="20">
      <c r="A20" s="8" t="s">
        <v>15</v>
      </c>
      <c r="B20" s="9">
        <f>23622</f>
        <v>23622</v>
      </c>
      <c r="C20" s="7">
        <f>29164</f>
        <v>29164</v>
      </c>
    </row>
    <row r="21">
      <c r="A21" s="8"/>
      <c r="C21" s="7"/>
    </row>
    <row r="22">
      <c r="A22" s="8" t="s">
        <v>16</v>
      </c>
      <c r="B22" s="9">
        <f>5919</f>
        <v>5919</v>
      </c>
      <c r="C22" s="7">
        <f>5805</f>
        <v>5805</v>
      </c>
    </row>
    <row r="23">
      <c r="A23" s="8"/>
      <c r="C23" s="7"/>
    </row>
    <row r="24">
      <c r="A24" s="8" t="s">
        <v>17</v>
      </c>
      <c r="B24" s="9">
        <f>9906</f>
        <v>9906</v>
      </c>
      <c r="C24" s="7">
        <f>14161</f>
        <v>14161</v>
      </c>
    </row>
    <row r="25">
      <c r="A25" s="8" t="s">
        <v>18</v>
      </c>
      <c r="B25" s="9">
        <f>1238</f>
        <v>1238</v>
      </c>
      <c r="C25" s="7">
        <f>1123</f>
        <v>1123</v>
      </c>
      <c r="D25" s="15"/>
    </row>
    <row r="26">
      <c r="A26" s="8" t="s">
        <v>19</v>
      </c>
      <c r="B26" s="9">
        <f>B25+B24+B22+B20</f>
        <v>40685</v>
      </c>
      <c r="C26" s="7">
        <f>C24+C22+C20+C25</f>
        <v>50253</v>
      </c>
    </row>
    <row r="27">
      <c r="A27" s="12" t="s">
        <v>20</v>
      </c>
      <c r="C27" s="7">
        <f>FCFF!N2</f>
        <v>0.2513403587</v>
      </c>
    </row>
    <row r="28">
      <c r="A28" s="16" t="s">
        <v>21</v>
      </c>
      <c r="B28" s="17"/>
      <c r="C28" s="18">
        <f>C11*(1-C27)</f>
        <v>7773.333056</v>
      </c>
    </row>
    <row r="29">
      <c r="A29" s="1"/>
    </row>
    <row r="30">
      <c r="A30" s="19" t="s">
        <v>22</v>
      </c>
    </row>
    <row r="31">
      <c r="A31" s="11" t="s">
        <v>23</v>
      </c>
    </row>
    <row r="32">
      <c r="A32" s="19" t="s">
        <v>24</v>
      </c>
    </row>
    <row r="34">
      <c r="A34" s="19" t="s">
        <v>25</v>
      </c>
      <c r="B34" s="2">
        <f>C18/((B7+C7)/2)</f>
        <v>0.1102429728</v>
      </c>
      <c r="C34" s="2"/>
      <c r="D34" s="15"/>
    </row>
    <row r="35">
      <c r="H35" s="19" t="s">
        <v>26</v>
      </c>
    </row>
    <row r="36">
      <c r="A36" s="1" t="s">
        <v>27</v>
      </c>
      <c r="J36" s="20"/>
      <c r="K36" s="20"/>
      <c r="L36" s="20"/>
      <c r="M36" s="20"/>
      <c r="N36" s="20"/>
      <c r="O36" s="20"/>
      <c r="P36" s="21"/>
      <c r="Q36" s="21"/>
      <c r="R36" s="21"/>
    </row>
    <row r="37">
      <c r="C37" s="15"/>
      <c r="J37" s="22"/>
      <c r="K37" s="23"/>
      <c r="L37" s="23"/>
      <c r="M37" s="23"/>
      <c r="N37" s="23"/>
      <c r="O37" s="23"/>
      <c r="P37" s="24"/>
      <c r="Q37" s="25"/>
      <c r="R37" s="25"/>
    </row>
    <row r="38">
      <c r="C38" s="15"/>
      <c r="J38" s="20" t="s">
        <v>28</v>
      </c>
      <c r="K38" s="20" t="s">
        <v>29</v>
      </c>
      <c r="L38" s="20" t="s">
        <v>30</v>
      </c>
      <c r="M38" s="20" t="s">
        <v>31</v>
      </c>
      <c r="N38" s="20" t="s">
        <v>32</v>
      </c>
      <c r="O38" s="20" t="s">
        <v>33</v>
      </c>
      <c r="P38" s="21" t="s">
        <v>34</v>
      </c>
      <c r="Q38" s="21" t="s">
        <v>35</v>
      </c>
      <c r="R38" s="21" t="s">
        <v>36</v>
      </c>
    </row>
    <row r="39">
      <c r="A39" s="26" t="s">
        <v>37</v>
      </c>
      <c r="B39" s="26" t="s">
        <v>38</v>
      </c>
      <c r="C39" s="26" t="s">
        <v>39</v>
      </c>
      <c r="D39" s="15"/>
      <c r="J39" s="22" t="s">
        <v>40</v>
      </c>
      <c r="K39" s="23">
        <f>20157</f>
        <v>20157</v>
      </c>
      <c r="L39" s="23">
        <f>26309</f>
        <v>26309</v>
      </c>
      <c r="M39" s="23">
        <f>674538</f>
        <v>674538</v>
      </c>
      <c r="N39" s="23">
        <f>(260823+253399)/2</f>
        <v>257111</v>
      </c>
      <c r="O39" s="23">
        <f>(97421+90349)/2</f>
        <v>93885</v>
      </c>
      <c r="P39" s="24">
        <f>29348</f>
        <v>29348</v>
      </c>
      <c r="Q39" s="25">
        <f>79458</f>
        <v>79458</v>
      </c>
      <c r="R39" s="25">
        <f>96584</f>
        <v>96584</v>
      </c>
    </row>
    <row r="40">
      <c r="A40" s="27" t="s">
        <v>41</v>
      </c>
      <c r="B40" s="25">
        <f>C18/C17</f>
        <v>0.7486596413</v>
      </c>
      <c r="C40" s="27">
        <f>R60</f>
        <v>0.769369096</v>
      </c>
      <c r="J40" s="22" t="s">
        <v>42</v>
      </c>
      <c r="K40" s="23">
        <f>4091</f>
        <v>4091</v>
      </c>
      <c r="L40" s="23">
        <f>5261</f>
        <v>5261</v>
      </c>
      <c r="M40" s="23">
        <f>106566</f>
        <v>106566</v>
      </c>
      <c r="N40" s="23">
        <f>(57769+55356)/2</f>
        <v>56562.5</v>
      </c>
      <c r="O40" s="23">
        <f>(14666+13432)/2</f>
        <v>14049</v>
      </c>
      <c r="P40" s="25">
        <f>5566</f>
        <v>5566</v>
      </c>
      <c r="Q40" s="25">
        <f>19454</f>
        <v>19454</v>
      </c>
      <c r="R40" s="25">
        <f>20799</f>
        <v>20799</v>
      </c>
    </row>
    <row r="41">
      <c r="A41" s="27" t="s">
        <v>43</v>
      </c>
      <c r="B41" s="25">
        <f>C17/C11</f>
        <v>1.041895406</v>
      </c>
      <c r="C41" s="27">
        <f>S60</f>
        <v>0.8845786407</v>
      </c>
      <c r="J41" s="22"/>
      <c r="K41" s="23"/>
      <c r="L41" s="23"/>
      <c r="M41" s="23"/>
      <c r="N41" s="23"/>
      <c r="O41" s="28"/>
      <c r="P41" s="25"/>
      <c r="Q41" s="25"/>
      <c r="R41" s="25"/>
    </row>
    <row r="42">
      <c r="A42" s="27" t="s">
        <v>44</v>
      </c>
      <c r="B42" s="25">
        <f>C11/C12</f>
        <v>0.0384680933</v>
      </c>
      <c r="C42" s="27">
        <f>M60</f>
        <v>0.07155434647</v>
      </c>
      <c r="D42" s="11"/>
      <c r="J42" s="22" t="s">
        <v>45</v>
      </c>
      <c r="K42" s="23">
        <f>1042.5</f>
        <v>1042.5</v>
      </c>
      <c r="L42" s="23">
        <f>1383.6</f>
        <v>1383.6</v>
      </c>
      <c r="M42" s="29">
        <f>17565.8</f>
        <v>17565.8</v>
      </c>
      <c r="N42" s="23">
        <f>(18644+22023.5)/2</f>
        <v>20333.75</v>
      </c>
      <c r="O42" s="23">
        <f>(3977.4+7313.1)/2</f>
        <v>5645.25</v>
      </c>
      <c r="P42" s="25">
        <f>1462</f>
        <v>1462</v>
      </c>
      <c r="Q42" s="25">
        <f>9107.2</f>
        <v>9107.2</v>
      </c>
      <c r="R42" s="25">
        <f>8585.9</f>
        <v>8585.9</v>
      </c>
    </row>
    <row r="43">
      <c r="A43" s="27" t="s">
        <v>46</v>
      </c>
      <c r="B43" s="25">
        <f>C12/((B7+C7)/2)</f>
        <v>3.674021643</v>
      </c>
      <c r="C43" s="27">
        <f>N60</f>
        <v>1.880413964</v>
      </c>
      <c r="D43" s="11"/>
      <c r="J43" s="22" t="s">
        <v>47</v>
      </c>
      <c r="K43" s="23">
        <f>2275</f>
        <v>2275</v>
      </c>
      <c r="L43" s="23">
        <f>3081</f>
        <v>3081</v>
      </c>
      <c r="M43" s="23">
        <f>61014</f>
        <v>61014</v>
      </c>
      <c r="N43" s="23">
        <f>(40880+38979)/2</f>
        <v>39929.5</v>
      </c>
      <c r="O43" s="23">
        <f>(11266+11619)/2</f>
        <v>11442.5</v>
      </c>
      <c r="P43" s="25">
        <f>3902</f>
        <v>3902</v>
      </c>
      <c r="Q43" s="25">
        <f>14548</f>
        <v>14548</v>
      </c>
      <c r="R43" s="25">
        <f>11768</f>
        <v>11768</v>
      </c>
    </row>
    <row r="44">
      <c r="A44" s="27" t="s">
        <v>48</v>
      </c>
      <c r="B44" s="25">
        <f>((B7+C7)/2)/((B20+C20)/2)</f>
        <v>2.783503202</v>
      </c>
      <c r="C44" s="27">
        <f>O60</f>
        <v>3.650473008</v>
      </c>
      <c r="J44" s="22" t="s">
        <v>49</v>
      </c>
      <c r="K44" s="23">
        <f>2665</f>
        <v>2665</v>
      </c>
      <c r="L44" s="23">
        <f>3342</f>
        <v>3342</v>
      </c>
      <c r="M44" s="23">
        <f>147123</f>
        <v>147123</v>
      </c>
      <c r="N44" s="23">
        <f>(52616+50505)/2</f>
        <v>51560.5</v>
      </c>
      <c r="O44" s="23">
        <f>(8281+11601)/2</f>
        <v>9941</v>
      </c>
      <c r="P44" s="25">
        <f>3849</f>
        <v>3849</v>
      </c>
      <c r="Q44" s="25">
        <f>15273</f>
        <v>15273</v>
      </c>
      <c r="R44" s="25">
        <f>15940</f>
        <v>15940</v>
      </c>
    </row>
    <row r="45">
      <c r="J45" s="22" t="s">
        <v>50</v>
      </c>
      <c r="K45" s="23">
        <f>203118</f>
        <v>203118</v>
      </c>
      <c r="L45" s="23">
        <f>250409</f>
        <v>250409</v>
      </c>
      <c r="M45" s="23">
        <f>1594288</f>
        <v>1594288</v>
      </c>
      <c r="N45" s="29">
        <f>(3025293+3444739)/2</f>
        <v>3235016</v>
      </c>
      <c r="O45" s="23">
        <f>(1424327+1324297)/2</f>
        <v>1374312</v>
      </c>
      <c r="P45" s="25">
        <f>308135</f>
        <v>308135</v>
      </c>
      <c r="Q45" s="25">
        <f>990822</f>
        <v>990822</v>
      </c>
      <c r="R45" s="21">
        <v>602628.0</v>
      </c>
    </row>
    <row r="46">
      <c r="A46" s="1"/>
      <c r="J46" s="30"/>
      <c r="K46" s="23"/>
      <c r="L46" s="23"/>
      <c r="M46" s="23"/>
      <c r="N46" s="23"/>
      <c r="O46" s="31"/>
      <c r="P46" s="25"/>
      <c r="Q46" s="25"/>
      <c r="R46" s="25"/>
    </row>
    <row r="47">
      <c r="A47" s="1" t="s">
        <v>51</v>
      </c>
      <c r="B47" s="9">
        <f>B40*B41*B42*B43*B44</f>
        <v>0.3068616679</v>
      </c>
      <c r="J47" s="32" t="s">
        <v>52</v>
      </c>
      <c r="K47" s="23">
        <f>534417</f>
        <v>534417</v>
      </c>
      <c r="L47" s="23">
        <f>720847</f>
        <v>720847</v>
      </c>
      <c r="M47" s="23">
        <f>20045329</f>
        <v>20045329</v>
      </c>
      <c r="N47" s="23">
        <f>(7065305+6677622)/2</f>
        <v>6871463.5</v>
      </c>
      <c r="O47" s="31">
        <f>(1847454+1458851)/2</f>
        <v>1653152.5</v>
      </c>
      <c r="P47" s="25">
        <f>772206</f>
        <v>772206</v>
      </c>
      <c r="Q47" s="25">
        <f>1878960</f>
        <v>1878960</v>
      </c>
      <c r="R47" s="25">
        <f>2534082</f>
        <v>2534082</v>
      </c>
    </row>
    <row r="48">
      <c r="J48" s="33"/>
      <c r="K48" s="34"/>
      <c r="L48" s="34"/>
      <c r="M48" s="34"/>
      <c r="N48" s="34"/>
      <c r="O48" s="34"/>
      <c r="P48" s="34"/>
      <c r="Q48" s="34"/>
    </row>
    <row r="49">
      <c r="A49" s="19" t="s">
        <v>53</v>
      </c>
      <c r="B49" s="11"/>
      <c r="C49" s="11">
        <f>C28-(WACC!B99*B26)</f>
        <v>7773.333056</v>
      </c>
    </row>
    <row r="51">
      <c r="A51" s="19"/>
      <c r="J51" s="35" t="s">
        <v>28</v>
      </c>
      <c r="K51" s="26" t="s">
        <v>54</v>
      </c>
      <c r="L51" s="26" t="s">
        <v>55</v>
      </c>
      <c r="M51" s="36" t="s">
        <v>44</v>
      </c>
      <c r="N51" s="36" t="s">
        <v>46</v>
      </c>
      <c r="O51" s="36" t="s">
        <v>48</v>
      </c>
      <c r="P51" s="26" t="s">
        <v>56</v>
      </c>
      <c r="Q51" s="26" t="s">
        <v>57</v>
      </c>
      <c r="R51" s="26" t="s">
        <v>58</v>
      </c>
      <c r="S51" s="26" t="s">
        <v>43</v>
      </c>
      <c r="T51" s="2"/>
    </row>
    <row r="52">
      <c r="A52" s="11" t="s">
        <v>59</v>
      </c>
      <c r="J52" s="37" t="s">
        <v>40</v>
      </c>
      <c r="K52" s="23">
        <f t="shared" ref="K52:K53" si="3">Q39/R39</f>
        <v>0.822682846</v>
      </c>
      <c r="L52" s="23">
        <f>9037/R39</f>
        <v>0.09356622215</v>
      </c>
      <c r="M52" s="23">
        <f t="shared" ref="M52:M53" si="4">P39/M39</f>
        <v>0.04350829753</v>
      </c>
      <c r="N52" s="23">
        <f t="shared" ref="N52:O52" si="2">M39/N39</f>
        <v>2.623528359</v>
      </c>
      <c r="O52" s="23">
        <f t="shared" si="2"/>
        <v>2.738573787</v>
      </c>
      <c r="P52" s="25">
        <f t="shared" ref="P52:P53" si="6">R52*S52*O52*N52*M52</f>
        <v>0.2146988337</v>
      </c>
      <c r="Q52" s="25">
        <f>P39/2728</f>
        <v>10.75806452</v>
      </c>
      <c r="R52" s="25">
        <f t="shared" ref="R52:R53" si="7">K39/L39</f>
        <v>0.7661636702</v>
      </c>
      <c r="S52" s="25">
        <f t="shared" ref="S52:S53" si="8">L39/P39</f>
        <v>0.8964495025</v>
      </c>
    </row>
    <row r="53">
      <c r="J53" s="37" t="s">
        <v>42</v>
      </c>
      <c r="K53" s="23">
        <f t="shared" si="3"/>
        <v>0.9353334295</v>
      </c>
      <c r="L53" s="23">
        <f>4762/R40</f>
        <v>0.2289533151</v>
      </c>
      <c r="M53" s="23">
        <f t="shared" si="4"/>
        <v>0.05223054257</v>
      </c>
      <c r="N53" s="23">
        <f t="shared" ref="N53:O53" si="5">M40/N40</f>
        <v>1.884039779</v>
      </c>
      <c r="O53" s="23">
        <f t="shared" si="5"/>
        <v>4.026087266</v>
      </c>
      <c r="P53" s="25">
        <f t="shared" si="6"/>
        <v>0.2911951029</v>
      </c>
      <c r="Q53" s="25">
        <f>P40/411</f>
        <v>13.54257908</v>
      </c>
      <c r="R53" s="25">
        <f t="shared" si="7"/>
        <v>0.7776088196</v>
      </c>
      <c r="S53" s="25">
        <f t="shared" si="8"/>
        <v>0.9452030183</v>
      </c>
    </row>
    <row r="54">
      <c r="A54" s="15" t="s">
        <v>60</v>
      </c>
      <c r="B54" s="2">
        <f>C12/((B7+C7)/2)</f>
        <v>3.674021643</v>
      </c>
      <c r="C54" s="11"/>
      <c r="J54" s="37"/>
      <c r="K54" s="23"/>
      <c r="L54" s="23"/>
      <c r="M54" s="23"/>
      <c r="N54" s="23"/>
      <c r="O54" s="28"/>
      <c r="P54" s="25"/>
      <c r="Q54" s="25"/>
      <c r="R54" s="25"/>
      <c r="S54" s="25"/>
    </row>
    <row r="55">
      <c r="A55" s="11" t="s">
        <v>61</v>
      </c>
      <c r="B55" s="2">
        <f>C12/((B4+C4)/2)</f>
        <v>8.858141481</v>
      </c>
      <c r="J55" s="37" t="s">
        <v>45</v>
      </c>
      <c r="K55" s="23">
        <f t="shared" ref="K55:K58" si="10">Q42/R42</f>
        <v>1.060715825</v>
      </c>
      <c r="L55" s="23">
        <f>1256.5/R42</f>
        <v>0.1463445882</v>
      </c>
      <c r="M55" s="23">
        <f t="shared" ref="M55:M58" si="11">P42/M42</f>
        <v>0.08322991267</v>
      </c>
      <c r="N55" s="23">
        <f t="shared" ref="N55:O55" si="9">M42/N42</f>
        <v>0.8638741009</v>
      </c>
      <c r="O55" s="23">
        <f t="shared" si="9"/>
        <v>3.60192197</v>
      </c>
      <c r="P55" s="25">
        <f t="shared" ref="P55:P59" si="13">R55*S55*O55*N55*M55</f>
        <v>0.1846685266</v>
      </c>
      <c r="Q55" s="25">
        <f>P42/107.5</f>
        <v>13.6</v>
      </c>
      <c r="R55" s="25">
        <f t="shared" ref="R55:R58" si="14">K42/L42</f>
        <v>0.7534692108</v>
      </c>
      <c r="S55" s="25">
        <f t="shared" ref="S55:S58" si="15">L42/P42</f>
        <v>0.946374829</v>
      </c>
    </row>
    <row r="56">
      <c r="A56" s="11" t="s">
        <v>62</v>
      </c>
      <c r="B56" s="2">
        <f>C9/((B5+C5)/2)</f>
        <v>13.05040394</v>
      </c>
      <c r="J56" s="37" t="s">
        <v>47</v>
      </c>
      <c r="K56" s="23">
        <f t="shared" si="10"/>
        <v>1.236233855</v>
      </c>
      <c r="L56" s="23">
        <f>2110/R43</f>
        <v>0.1792997961</v>
      </c>
      <c r="M56" s="23">
        <f t="shared" si="11"/>
        <v>0.06395253548</v>
      </c>
      <c r="N56" s="23">
        <f t="shared" ref="N56:O56" si="12">M43/N43</f>
        <v>1.528043176</v>
      </c>
      <c r="O56" s="23">
        <f t="shared" si="12"/>
        <v>3.489578326</v>
      </c>
      <c r="P56" s="25">
        <f t="shared" si="13"/>
        <v>0.1988201879</v>
      </c>
      <c r="Q56" s="25">
        <f>P43/821</f>
        <v>4.75274056</v>
      </c>
      <c r="R56" s="25">
        <f t="shared" si="14"/>
        <v>0.7383966245</v>
      </c>
      <c r="S56" s="25">
        <f t="shared" si="15"/>
        <v>0.7895950794</v>
      </c>
    </row>
    <row r="57">
      <c r="J57" s="37" t="s">
        <v>49</v>
      </c>
      <c r="K57" s="23">
        <f t="shared" si="10"/>
        <v>0.9581555834</v>
      </c>
      <c r="L57" s="23">
        <f>3959/P44</f>
        <v>1.028578852</v>
      </c>
      <c r="M57" s="23">
        <f t="shared" si="11"/>
        <v>0.026161783</v>
      </c>
      <c r="N57" s="23">
        <f t="shared" ref="N57:O57" si="16">M44/N44</f>
        <v>2.853405223</v>
      </c>
      <c r="O57" s="23">
        <f t="shared" si="16"/>
        <v>5.186651242</v>
      </c>
      <c r="P57" s="25">
        <f t="shared" si="13"/>
        <v>0.2680816819</v>
      </c>
      <c r="Q57" s="25">
        <f>P44/450</f>
        <v>8.553333333</v>
      </c>
      <c r="R57" s="25">
        <f t="shared" si="14"/>
        <v>0.7974266906</v>
      </c>
      <c r="S57" s="25">
        <f t="shared" si="15"/>
        <v>0.8682774747</v>
      </c>
    </row>
    <row r="58">
      <c r="J58" s="37" t="s">
        <v>50</v>
      </c>
      <c r="K58" s="23">
        <f t="shared" si="10"/>
        <v>1.644168542</v>
      </c>
      <c r="L58" s="23">
        <f>216394/R45</f>
        <v>0.3590838793</v>
      </c>
      <c r="M58" s="23">
        <f t="shared" si="11"/>
        <v>0.1932743645</v>
      </c>
      <c r="N58" s="23">
        <f t="shared" ref="N58:O58" si="17">M45/N45</f>
        <v>0.4928222921</v>
      </c>
      <c r="O58" s="23">
        <f t="shared" si="17"/>
        <v>2.353916723</v>
      </c>
      <c r="P58" s="25">
        <f t="shared" si="13"/>
        <v>0.1477961336</v>
      </c>
      <c r="Q58" s="25">
        <f>P45/72471</f>
        <v>4.251838667</v>
      </c>
      <c r="R58" s="25">
        <f t="shared" si="14"/>
        <v>0.8111449668</v>
      </c>
      <c r="S58" s="25">
        <f t="shared" si="15"/>
        <v>0.8126600354</v>
      </c>
    </row>
    <row r="59">
      <c r="J59" s="38" t="s">
        <v>52</v>
      </c>
      <c r="K59" s="23">
        <f>Q47/R47</f>
        <v>0.7414756113</v>
      </c>
      <c r="L59" s="23">
        <f>28272/R47</f>
        <v>0.0111567029</v>
      </c>
      <c r="M59" s="23">
        <f>P47/M47</f>
        <v>0.03852298957</v>
      </c>
      <c r="N59" s="23">
        <f t="shared" ref="N59:O59" si="18">M47/N47</f>
        <v>2.917184818</v>
      </c>
      <c r="O59" s="23">
        <f t="shared" si="18"/>
        <v>4.156581743</v>
      </c>
      <c r="P59" s="25">
        <f t="shared" si="13"/>
        <v>0.3232714465</v>
      </c>
      <c r="Q59" s="9">
        <f>P47/51359</f>
        <v>15.0354563</v>
      </c>
      <c r="R59" s="25">
        <f>K47/L47</f>
        <v>0.7413736896</v>
      </c>
      <c r="S59" s="25">
        <f>L47/P47</f>
        <v>0.9334905453</v>
      </c>
    </row>
    <row r="60">
      <c r="A60" s="11" t="s">
        <v>63</v>
      </c>
      <c r="J60" s="39" t="s">
        <v>64</v>
      </c>
      <c r="K60" s="40">
        <f t="shared" ref="K60:S60" si="19">AVERAGE(K52:K59)</f>
        <v>1.056966527</v>
      </c>
      <c r="L60" s="40">
        <f t="shared" si="19"/>
        <v>0.2924261936</v>
      </c>
      <c r="M60" s="40">
        <f t="shared" si="19"/>
        <v>0.07155434647</v>
      </c>
      <c r="N60" s="40">
        <f t="shared" si="19"/>
        <v>1.880413964</v>
      </c>
      <c r="O60" s="40">
        <f t="shared" si="19"/>
        <v>3.650473008</v>
      </c>
      <c r="P60" s="40">
        <f t="shared" si="19"/>
        <v>0.2326474162</v>
      </c>
      <c r="Q60" s="40">
        <f t="shared" si="19"/>
        <v>10.07057321</v>
      </c>
      <c r="R60" s="40">
        <f t="shared" si="19"/>
        <v>0.769369096</v>
      </c>
      <c r="S60" s="40">
        <f t="shared" si="19"/>
        <v>0.8845786407</v>
      </c>
    </row>
    <row r="61">
      <c r="A61" s="11" t="s">
        <v>65</v>
      </c>
      <c r="B61" s="9">
        <f>C13/C12</f>
        <v>0.1112436646</v>
      </c>
      <c r="H61" s="15"/>
      <c r="J61" s="2"/>
    </row>
    <row r="62">
      <c r="A62" s="11" t="s">
        <v>66</v>
      </c>
      <c r="B62" s="9">
        <f>C11/C12</f>
        <v>0.0384680933</v>
      </c>
      <c r="C62" s="11"/>
      <c r="J62" s="41" t="s">
        <v>38</v>
      </c>
      <c r="K62" s="42">
        <f>B94</f>
        <v>1.034278323</v>
      </c>
      <c r="L62" s="43">
        <f>B96</f>
        <v>0.4118788401</v>
      </c>
      <c r="M62" s="44">
        <f>B42</f>
        <v>0.0384680933</v>
      </c>
      <c r="N62" s="44">
        <f>B43</f>
        <v>3.674021643</v>
      </c>
      <c r="O62" s="44">
        <f>B44</f>
        <v>2.783503202</v>
      </c>
      <c r="P62" s="44">
        <f>B47</f>
        <v>0.3068616679</v>
      </c>
      <c r="Q62" s="44">
        <f>B85</f>
        <v>67.42207792</v>
      </c>
      <c r="R62" s="9">
        <f>B40</f>
        <v>0.7486596413</v>
      </c>
      <c r="S62" s="9">
        <f>B41</f>
        <v>1.041895406</v>
      </c>
    </row>
    <row r="63">
      <c r="A63" s="11" t="s">
        <v>67</v>
      </c>
      <c r="B63" s="9">
        <f>C18/C10</f>
        <v>0.02942576344</v>
      </c>
      <c r="J63" s="45"/>
      <c r="K63" s="45"/>
      <c r="L63" s="46"/>
      <c r="M63" s="47"/>
      <c r="N63" s="47"/>
      <c r="O63" s="45"/>
      <c r="P63" s="45"/>
      <c r="Q63" s="47"/>
      <c r="S63" s="48"/>
      <c r="U63" s="49"/>
    </row>
    <row r="64">
      <c r="J64" s="25"/>
      <c r="K64" s="25"/>
      <c r="L64" s="50"/>
      <c r="M64" s="25"/>
      <c r="N64" s="25"/>
      <c r="O64" s="25"/>
      <c r="P64" s="25"/>
      <c r="Q64" s="25"/>
    </row>
    <row r="65">
      <c r="H65" s="19" t="s">
        <v>68</v>
      </c>
      <c r="I65" s="2"/>
      <c r="J65" s="35" t="s">
        <v>28</v>
      </c>
      <c r="K65" s="26" t="s">
        <v>56</v>
      </c>
      <c r="L65" s="36" t="s">
        <v>44</v>
      </c>
      <c r="M65" s="26" t="s">
        <v>57</v>
      </c>
      <c r="N65" s="36" t="s">
        <v>48</v>
      </c>
      <c r="O65" s="36" t="s">
        <v>46</v>
      </c>
      <c r="P65" s="26" t="s">
        <v>55</v>
      </c>
      <c r="Q65" s="26" t="s">
        <v>54</v>
      </c>
      <c r="V65" s="49"/>
    </row>
    <row r="66">
      <c r="A66" s="51" t="s">
        <v>69</v>
      </c>
      <c r="B66" s="52"/>
      <c r="C66" s="53">
        <v>2024.0</v>
      </c>
      <c r="D66" s="53">
        <v>2025.0</v>
      </c>
      <c r="H66" s="19" t="s">
        <v>70</v>
      </c>
      <c r="I66" s="2"/>
      <c r="J66" s="37" t="s">
        <v>40</v>
      </c>
      <c r="K66" s="25">
        <f t="shared" ref="K66:K67" si="20">P52</f>
        <v>0.2146988337</v>
      </c>
      <c r="L66" s="25">
        <f t="shared" ref="L66:L67" si="21">M52</f>
        <v>0.04350829753</v>
      </c>
      <c r="M66" s="25">
        <f t="shared" ref="M66:M67" si="22">Q52</f>
        <v>10.75806452</v>
      </c>
      <c r="N66" s="25">
        <f t="shared" ref="N66:N67" si="23">O52</f>
        <v>2.738573787</v>
      </c>
      <c r="O66" s="25">
        <f t="shared" ref="O66:O67" si="24">N52</f>
        <v>2.623528359</v>
      </c>
      <c r="P66" s="25">
        <f t="shared" ref="P66:P67" si="25">L52</f>
        <v>0.09356622215</v>
      </c>
      <c r="Q66" s="25">
        <f t="shared" ref="Q66:Q67" si="26">K52</f>
        <v>0.822682846</v>
      </c>
    </row>
    <row r="67">
      <c r="A67" s="54"/>
      <c r="B67" s="22" t="s">
        <v>71</v>
      </c>
      <c r="C67" s="55">
        <f>9906</f>
        <v>9906</v>
      </c>
      <c r="D67" s="55">
        <f>14161</f>
        <v>14161</v>
      </c>
      <c r="J67" s="37" t="s">
        <v>42</v>
      </c>
      <c r="K67" s="25">
        <f t="shared" si="20"/>
        <v>0.2911951029</v>
      </c>
      <c r="L67" s="25">
        <f t="shared" si="21"/>
        <v>0.05223054257</v>
      </c>
      <c r="M67" s="25">
        <f t="shared" si="22"/>
        <v>13.54257908</v>
      </c>
      <c r="N67" s="25">
        <f t="shared" si="23"/>
        <v>4.026087266</v>
      </c>
      <c r="O67" s="25">
        <f t="shared" si="24"/>
        <v>1.884039779</v>
      </c>
      <c r="P67" s="25">
        <f t="shared" si="25"/>
        <v>0.2289533151</v>
      </c>
      <c r="Q67" s="25">
        <f t="shared" si="26"/>
        <v>0.9353334295</v>
      </c>
    </row>
    <row r="68">
      <c r="A68" s="54"/>
      <c r="B68" s="22" t="s">
        <v>72</v>
      </c>
      <c r="C68" s="55">
        <f>1238</f>
        <v>1238</v>
      </c>
      <c r="D68" s="55">
        <f>1123</f>
        <v>1123</v>
      </c>
      <c r="J68" s="37"/>
      <c r="K68" s="25"/>
      <c r="L68" s="56" t="str">
        <f>B102</f>
        <v/>
      </c>
      <c r="M68" s="25" t="str">
        <f>B48</f>
        <v/>
      </c>
      <c r="N68" s="25" t="str">
        <f>B49</f>
        <v/>
      </c>
      <c r="O68" s="25" t="str">
        <f>B50</f>
        <v/>
      </c>
      <c r="P68" s="25" t="str">
        <f>B53</f>
        <v/>
      </c>
      <c r="Q68" s="25" t="str">
        <f>B91</f>
        <v/>
      </c>
      <c r="R68" s="9" t="str">
        <f>B46</f>
        <v/>
      </c>
    </row>
    <row r="69">
      <c r="A69" s="54"/>
      <c r="B69" s="22" t="s">
        <v>73</v>
      </c>
      <c r="C69" s="55">
        <f>2721</f>
        <v>2721</v>
      </c>
      <c r="D69" s="55">
        <f>3203</f>
        <v>3203</v>
      </c>
      <c r="J69" s="37" t="s">
        <v>45</v>
      </c>
      <c r="K69" s="25">
        <f t="shared" ref="K69:K73" si="27">P55</f>
        <v>0.1846685266</v>
      </c>
      <c r="L69" s="25">
        <f t="shared" ref="L69:L73" si="28">M55</f>
        <v>0.08322991267</v>
      </c>
      <c r="M69" s="25">
        <f t="shared" ref="M69:M73" si="29">Q55</f>
        <v>13.6</v>
      </c>
      <c r="N69" s="25">
        <f t="shared" ref="N69:N73" si="30">O55</f>
        <v>3.60192197</v>
      </c>
      <c r="O69" s="25">
        <f t="shared" ref="O69:O73" si="31">N55</f>
        <v>0.8638741009</v>
      </c>
      <c r="P69" s="25">
        <f t="shared" ref="P69:P73" si="32">L55</f>
        <v>0.1463445882</v>
      </c>
      <c r="Q69" s="25">
        <f t="shared" ref="Q69:Q73" si="33">K55</f>
        <v>1.060715825</v>
      </c>
    </row>
    <row r="70">
      <c r="A70" s="54"/>
      <c r="B70" s="22" t="s">
        <v>74</v>
      </c>
      <c r="C70" s="55">
        <f>18647</f>
        <v>18647</v>
      </c>
      <c r="D70" s="55">
        <f>18116</f>
        <v>18116</v>
      </c>
      <c r="J70" s="37" t="s">
        <v>47</v>
      </c>
      <c r="K70" s="25">
        <f t="shared" si="27"/>
        <v>0.1988201879</v>
      </c>
      <c r="L70" s="25">
        <f t="shared" si="28"/>
        <v>0.06395253548</v>
      </c>
      <c r="M70" s="25">
        <f t="shared" si="29"/>
        <v>4.75274056</v>
      </c>
      <c r="N70" s="25">
        <f t="shared" si="30"/>
        <v>3.489578326</v>
      </c>
      <c r="O70" s="25">
        <f t="shared" si="31"/>
        <v>1.528043176</v>
      </c>
      <c r="P70" s="25">
        <f t="shared" si="32"/>
        <v>0.1792997961</v>
      </c>
      <c r="Q70" s="25">
        <f t="shared" si="33"/>
        <v>1.236233855</v>
      </c>
    </row>
    <row r="71">
      <c r="A71" s="54"/>
      <c r="B71" s="22" t="s">
        <v>75</v>
      </c>
      <c r="C71" s="55">
        <f>1734</f>
        <v>1734</v>
      </c>
      <c r="D71" s="55">
        <f>1777</f>
        <v>1777</v>
      </c>
      <c r="J71" s="37" t="s">
        <v>49</v>
      </c>
      <c r="K71" s="25">
        <f t="shared" si="27"/>
        <v>0.2680816819</v>
      </c>
      <c r="L71" s="25">
        <f t="shared" si="28"/>
        <v>0.026161783</v>
      </c>
      <c r="M71" s="25">
        <f t="shared" si="29"/>
        <v>8.553333333</v>
      </c>
      <c r="N71" s="25">
        <f t="shared" si="30"/>
        <v>5.186651242</v>
      </c>
      <c r="O71" s="25">
        <f t="shared" si="31"/>
        <v>2.853405223</v>
      </c>
      <c r="P71" s="25">
        <f t="shared" si="32"/>
        <v>1.028578852</v>
      </c>
      <c r="Q71" s="25">
        <f t="shared" si="33"/>
        <v>0.9581555834</v>
      </c>
    </row>
    <row r="72">
      <c r="A72" s="54"/>
      <c r="B72" s="57" t="s">
        <v>76</v>
      </c>
      <c r="C72" s="58">
        <f t="shared" ref="C72:D72" si="34">SUM(C67:C71)</f>
        <v>34246</v>
      </c>
      <c r="D72" s="58">
        <f t="shared" si="34"/>
        <v>38380</v>
      </c>
      <c r="J72" s="37" t="s">
        <v>50</v>
      </c>
      <c r="K72" s="25">
        <f t="shared" si="27"/>
        <v>0.1477961336</v>
      </c>
      <c r="L72" s="25">
        <f t="shared" si="28"/>
        <v>0.1932743645</v>
      </c>
      <c r="M72" s="25">
        <f t="shared" si="29"/>
        <v>4.251838667</v>
      </c>
      <c r="N72" s="25">
        <f t="shared" si="30"/>
        <v>2.353916723</v>
      </c>
      <c r="O72" s="25">
        <f t="shared" si="31"/>
        <v>0.4928222921</v>
      </c>
      <c r="P72" s="25">
        <f t="shared" si="32"/>
        <v>0.3590838793</v>
      </c>
      <c r="Q72" s="25">
        <f t="shared" si="33"/>
        <v>1.644168542</v>
      </c>
    </row>
    <row r="73">
      <c r="A73" s="54"/>
      <c r="B73" s="54"/>
      <c r="C73" s="59"/>
      <c r="D73" s="59"/>
      <c r="J73" s="38" t="s">
        <v>52</v>
      </c>
      <c r="K73" s="25">
        <f t="shared" si="27"/>
        <v>0.3232714465</v>
      </c>
      <c r="L73" s="25">
        <f t="shared" si="28"/>
        <v>0.03852298957</v>
      </c>
      <c r="M73" s="25">
        <f t="shared" si="29"/>
        <v>15.0354563</v>
      </c>
      <c r="N73" s="25">
        <f t="shared" si="30"/>
        <v>4.156581743</v>
      </c>
      <c r="O73" s="25">
        <f t="shared" si="31"/>
        <v>2.917184818</v>
      </c>
      <c r="P73" s="25">
        <f t="shared" si="32"/>
        <v>0.0111567029</v>
      </c>
      <c r="Q73" s="25">
        <f t="shared" si="33"/>
        <v>0.7414756113</v>
      </c>
    </row>
    <row r="74">
      <c r="A74" s="54"/>
      <c r="B74" s="54"/>
      <c r="C74" s="59"/>
      <c r="D74" s="59"/>
      <c r="J74" s="39" t="s">
        <v>64</v>
      </c>
      <c r="K74" s="40">
        <f t="shared" ref="K74:Q74" si="35">AVERAGE(K66:K73)</f>
        <v>0.2326474162</v>
      </c>
      <c r="L74" s="40">
        <f t="shared" si="35"/>
        <v>0.07155434647</v>
      </c>
      <c r="M74" s="40">
        <f t="shared" si="35"/>
        <v>10.07057321</v>
      </c>
      <c r="N74" s="40">
        <f t="shared" si="35"/>
        <v>3.650473008</v>
      </c>
      <c r="O74" s="40">
        <f t="shared" si="35"/>
        <v>1.880413964</v>
      </c>
      <c r="P74" s="40">
        <f t="shared" si="35"/>
        <v>0.2924261936</v>
      </c>
      <c r="Q74" s="40">
        <f t="shared" si="35"/>
        <v>1.056966527</v>
      </c>
    </row>
    <row r="75">
      <c r="A75" s="54"/>
      <c r="B75" s="22" t="s">
        <v>77</v>
      </c>
      <c r="C75" s="55">
        <f>19421</f>
        <v>19421</v>
      </c>
      <c r="D75" s="55">
        <f>19783</f>
        <v>19783</v>
      </c>
    </row>
    <row r="76">
      <c r="A76" s="54"/>
      <c r="B76" s="22" t="s">
        <v>78</v>
      </c>
      <c r="C76" s="55">
        <f>4794</f>
        <v>4794</v>
      </c>
      <c r="D76" s="55">
        <f>5205</f>
        <v>5205</v>
      </c>
      <c r="J76" s="41" t="s">
        <v>38</v>
      </c>
      <c r="K76" s="9">
        <f>P62</f>
        <v>0.3068616679</v>
      </c>
      <c r="L76" s="9">
        <f>M62</f>
        <v>0.0384680933</v>
      </c>
      <c r="M76" s="9">
        <f>Q62</f>
        <v>67.42207792</v>
      </c>
      <c r="N76" s="9">
        <f>O62</f>
        <v>2.783503202</v>
      </c>
      <c r="O76" s="9">
        <f>N62</f>
        <v>3.674021643</v>
      </c>
      <c r="P76" s="60">
        <f>L62</f>
        <v>0.4118788401</v>
      </c>
      <c r="Q76" s="61">
        <f>K62</f>
        <v>1.034278323</v>
      </c>
    </row>
    <row r="77">
      <c r="A77" s="54"/>
      <c r="B77" s="22" t="s">
        <v>79</v>
      </c>
      <c r="C77" s="55">
        <f>2435</f>
        <v>2435</v>
      </c>
      <c r="D77" s="55">
        <f>2677</f>
        <v>2677</v>
      </c>
    </row>
    <row r="78">
      <c r="A78" s="54"/>
      <c r="B78" s="22" t="s">
        <v>80</v>
      </c>
      <c r="C78" s="55">
        <f>2501</f>
        <v>2501</v>
      </c>
      <c r="D78" s="55">
        <f>2854</f>
        <v>2854</v>
      </c>
    </row>
    <row r="79">
      <c r="A79" s="54"/>
      <c r="B79" s="22" t="s">
        <v>81</v>
      </c>
      <c r="C79" s="55">
        <f>6313</f>
        <v>6313</v>
      </c>
      <c r="D79" s="55">
        <f>6589</f>
        <v>6589</v>
      </c>
      <c r="H79" s="19" t="s">
        <v>82</v>
      </c>
      <c r="I79" s="2"/>
      <c r="J79" s="2"/>
      <c r="K79" s="2"/>
    </row>
    <row r="80">
      <c r="A80" s="54"/>
      <c r="B80" s="57" t="s">
        <v>83</v>
      </c>
      <c r="C80" s="58">
        <f t="shared" ref="C80:D80" si="36">SUM(C75:C79)</f>
        <v>35464</v>
      </c>
      <c r="D80" s="58">
        <f t="shared" si="36"/>
        <v>37108</v>
      </c>
    </row>
    <row r="81">
      <c r="A81" s="54"/>
      <c r="B81" s="54"/>
      <c r="C81" s="54"/>
      <c r="D81" s="54"/>
      <c r="J81" s="35" t="s">
        <v>28</v>
      </c>
      <c r="K81" s="26" t="s">
        <v>56</v>
      </c>
      <c r="L81" s="36" t="s">
        <v>44</v>
      </c>
      <c r="M81" s="26" t="s">
        <v>57</v>
      </c>
      <c r="N81" s="26" t="s">
        <v>48</v>
      </c>
      <c r="O81" s="36" t="s">
        <v>46</v>
      </c>
      <c r="P81" s="26" t="s">
        <v>55</v>
      </c>
      <c r="Q81" s="26" t="s">
        <v>54</v>
      </c>
    </row>
    <row r="82">
      <c r="A82" s="22" t="s">
        <v>84</v>
      </c>
      <c r="B82" s="54"/>
      <c r="C82" s="54"/>
      <c r="D82" s="54"/>
      <c r="J82" s="37" t="s">
        <v>40</v>
      </c>
      <c r="K82" s="25">
        <f t="shared" ref="K82:Q82" si="37">K66</f>
        <v>0.2146988337</v>
      </c>
      <c r="L82" s="25">
        <f t="shared" si="37"/>
        <v>0.04350829753</v>
      </c>
      <c r="M82" s="25">
        <f t="shared" si="37"/>
        <v>10.75806452</v>
      </c>
      <c r="N82" s="25">
        <f t="shared" si="37"/>
        <v>2.738573787</v>
      </c>
      <c r="O82" s="25">
        <f t="shared" si="37"/>
        <v>2.623528359</v>
      </c>
      <c r="P82" s="25">
        <f t="shared" si="37"/>
        <v>0.09356622215</v>
      </c>
      <c r="Q82" s="25">
        <f t="shared" si="37"/>
        <v>0.822682846</v>
      </c>
    </row>
    <row r="83">
      <c r="A83" s="62"/>
      <c r="B83" s="54"/>
      <c r="C83" s="22"/>
      <c r="D83" s="22" t="s">
        <v>85</v>
      </c>
      <c r="E83" s="11" t="s">
        <v>85</v>
      </c>
      <c r="J83" s="37" t="s">
        <v>42</v>
      </c>
      <c r="K83" s="25">
        <f t="shared" ref="K83:Q83" si="38">K67</f>
        <v>0.2911951029</v>
      </c>
      <c r="L83" s="25">
        <f t="shared" si="38"/>
        <v>0.05223054257</v>
      </c>
      <c r="M83" s="25">
        <f t="shared" si="38"/>
        <v>13.54257908</v>
      </c>
      <c r="N83" s="25">
        <f t="shared" si="38"/>
        <v>4.026087266</v>
      </c>
      <c r="O83" s="25">
        <f t="shared" si="38"/>
        <v>1.884039779</v>
      </c>
      <c r="P83" s="25">
        <f t="shared" si="38"/>
        <v>0.2289533151</v>
      </c>
      <c r="Q83" s="25">
        <f t="shared" si="38"/>
        <v>0.9353334295</v>
      </c>
    </row>
    <row r="84">
      <c r="A84" s="62" t="s">
        <v>86</v>
      </c>
      <c r="B84" s="22">
        <f>(C11+2426)/(C15+103)</f>
        <v>49.84046693</v>
      </c>
      <c r="C84" s="22" t="s">
        <v>87</v>
      </c>
      <c r="D84" s="54"/>
      <c r="J84" s="63" t="s">
        <v>45</v>
      </c>
      <c r="K84" s="9">
        <f t="shared" ref="K84:Q84" si="39">K69</f>
        <v>0.1846685266</v>
      </c>
      <c r="L84" s="9">
        <f t="shared" si="39"/>
        <v>0.08322991267</v>
      </c>
      <c r="M84" s="9">
        <f t="shared" si="39"/>
        <v>13.6</v>
      </c>
      <c r="N84" s="9">
        <f t="shared" si="39"/>
        <v>3.60192197</v>
      </c>
      <c r="O84" s="9">
        <f t="shared" si="39"/>
        <v>0.8638741009</v>
      </c>
      <c r="P84" s="9">
        <f t="shared" si="39"/>
        <v>0.1463445882</v>
      </c>
      <c r="Q84" s="9">
        <f t="shared" si="39"/>
        <v>1.060715825</v>
      </c>
    </row>
    <row r="85">
      <c r="A85" s="62" t="s">
        <v>88</v>
      </c>
      <c r="B85" s="22">
        <f>C11/C15</f>
        <v>67.42207792</v>
      </c>
      <c r="C85" s="54"/>
      <c r="D85" s="54"/>
      <c r="J85" s="63" t="s">
        <v>47</v>
      </c>
      <c r="K85" s="9">
        <f t="shared" ref="K85:Q85" si="40">K70</f>
        <v>0.1988201879</v>
      </c>
      <c r="L85" s="9">
        <f t="shared" si="40"/>
        <v>0.06395253548</v>
      </c>
      <c r="M85" s="9">
        <f t="shared" si="40"/>
        <v>4.75274056</v>
      </c>
      <c r="N85" s="9">
        <f t="shared" si="40"/>
        <v>3.489578326</v>
      </c>
      <c r="O85" s="9">
        <f t="shared" si="40"/>
        <v>1.528043176</v>
      </c>
      <c r="P85" s="9">
        <f t="shared" si="40"/>
        <v>0.1792997961</v>
      </c>
      <c r="Q85" s="9">
        <f t="shared" si="40"/>
        <v>1.236233855</v>
      </c>
    </row>
    <row r="86">
      <c r="A86" s="62"/>
      <c r="B86" s="22"/>
      <c r="C86" s="54"/>
      <c r="D86" s="54"/>
      <c r="J86" s="63" t="s">
        <v>49</v>
      </c>
      <c r="K86" s="9">
        <f t="shared" ref="K86:Q86" si="41">K71</f>
        <v>0.2680816819</v>
      </c>
      <c r="L86" s="9">
        <f t="shared" si="41"/>
        <v>0.026161783</v>
      </c>
      <c r="M86" s="9">
        <f t="shared" si="41"/>
        <v>8.553333333</v>
      </c>
      <c r="N86" s="9">
        <f t="shared" si="41"/>
        <v>5.186651242</v>
      </c>
      <c r="O86" s="9">
        <f t="shared" si="41"/>
        <v>2.853405223</v>
      </c>
      <c r="P86" s="9">
        <f t="shared" si="41"/>
        <v>1.028578852</v>
      </c>
      <c r="Q86" s="9">
        <f t="shared" si="41"/>
        <v>0.9581555834</v>
      </c>
    </row>
    <row r="87">
      <c r="A87" s="62" t="s">
        <v>89</v>
      </c>
      <c r="B87" s="22">
        <f>F92/F93</f>
        <v>1.64363599</v>
      </c>
      <c r="C87" s="54"/>
      <c r="D87" s="54"/>
      <c r="J87" s="63" t="s">
        <v>50</v>
      </c>
      <c r="K87" s="9">
        <f t="shared" ref="K87:Q87" si="42">K72</f>
        <v>0.1477961336</v>
      </c>
      <c r="L87" s="9">
        <f t="shared" si="42"/>
        <v>0.1932743645</v>
      </c>
      <c r="M87" s="9">
        <f t="shared" si="42"/>
        <v>4.251838667</v>
      </c>
      <c r="N87" s="9">
        <f t="shared" si="42"/>
        <v>2.353916723</v>
      </c>
      <c r="O87" s="9">
        <f t="shared" si="42"/>
        <v>0.4928222921</v>
      </c>
      <c r="P87" s="9">
        <f t="shared" si="42"/>
        <v>0.3590838793</v>
      </c>
      <c r="Q87" s="9">
        <f t="shared" si="42"/>
        <v>1.644168542</v>
      </c>
    </row>
    <row r="88">
      <c r="A88" s="64" t="s">
        <v>90</v>
      </c>
      <c r="B88" s="22">
        <f>((E92+F92)/2)/((B7+C7)/2)</f>
        <v>0.6407404887</v>
      </c>
      <c r="C88" s="54"/>
      <c r="D88" s="54"/>
      <c r="J88" s="65" t="s">
        <v>52</v>
      </c>
      <c r="K88" s="9">
        <f t="shared" ref="K88:Q88" si="43">K73</f>
        <v>0.3232714465</v>
      </c>
      <c r="L88" s="9">
        <f t="shared" si="43"/>
        <v>0.03852298957</v>
      </c>
      <c r="M88" s="9">
        <f t="shared" si="43"/>
        <v>15.0354563</v>
      </c>
      <c r="N88" s="9">
        <f t="shared" si="43"/>
        <v>4.156581743</v>
      </c>
      <c r="O88" s="9">
        <f t="shared" si="43"/>
        <v>2.917184818</v>
      </c>
      <c r="P88" s="9">
        <f t="shared" si="43"/>
        <v>0.0111567029</v>
      </c>
      <c r="Q88" s="9">
        <f t="shared" si="43"/>
        <v>0.7414756113</v>
      </c>
    </row>
    <row r="89">
      <c r="A89" s="64" t="s">
        <v>91</v>
      </c>
      <c r="B89" s="54">
        <f>5788/(5788+F93)</f>
        <v>0.1655985351</v>
      </c>
      <c r="C89" s="54"/>
      <c r="D89" s="66"/>
      <c r="E89" s="67">
        <v>2024.0</v>
      </c>
      <c r="F89" s="68">
        <v>2025.0</v>
      </c>
      <c r="J89" s="69" t="s">
        <v>92</v>
      </c>
      <c r="K89" s="34">
        <v>0.146441735</v>
      </c>
      <c r="L89" s="34">
        <v>0.031155925</v>
      </c>
      <c r="M89" s="34">
        <v>3.653543307</v>
      </c>
      <c r="N89" s="34">
        <v>0.303111486</v>
      </c>
      <c r="O89" s="34">
        <v>1.906790008</v>
      </c>
      <c r="P89" s="34">
        <v>0.373210693</v>
      </c>
      <c r="Q89" s="34">
        <v>0.835067548</v>
      </c>
      <c r="R89" s="34"/>
    </row>
    <row r="90">
      <c r="A90" s="70"/>
      <c r="B90" s="70"/>
      <c r="C90" s="70"/>
      <c r="D90" s="71"/>
      <c r="E90" s="71"/>
      <c r="F90" s="71"/>
      <c r="J90" s="69" t="s">
        <v>93</v>
      </c>
      <c r="K90" s="34">
        <v>0.187573042</v>
      </c>
      <c r="L90" s="34">
        <v>0.031573461</v>
      </c>
      <c r="M90" s="34">
        <v>2.48405467</v>
      </c>
      <c r="N90" s="34">
        <v>0.151523648</v>
      </c>
      <c r="O90" s="34">
        <v>2.038722054</v>
      </c>
      <c r="P90" s="34">
        <v>0.103683825</v>
      </c>
      <c r="Q90" s="34">
        <v>0.568512645</v>
      </c>
    </row>
    <row r="91">
      <c r="A91" s="72" t="s">
        <v>94</v>
      </c>
      <c r="B91" s="70"/>
      <c r="C91" s="70"/>
      <c r="D91" s="73"/>
      <c r="E91" s="73"/>
      <c r="F91" s="68"/>
      <c r="J91" s="69" t="s">
        <v>95</v>
      </c>
      <c r="K91" s="34">
        <v>-0.028335107</v>
      </c>
      <c r="L91" s="34">
        <v>0.00162292</v>
      </c>
      <c r="M91" s="34">
        <v>0.089717081</v>
      </c>
      <c r="N91" s="34">
        <v>0.324217683</v>
      </c>
      <c r="O91" s="34">
        <v>0.835938497</v>
      </c>
      <c r="P91" s="34">
        <v>0.158521116</v>
      </c>
      <c r="Q91" s="34">
        <v>0.965292373</v>
      </c>
    </row>
    <row r="92">
      <c r="A92" s="72"/>
      <c r="B92" s="70"/>
      <c r="C92" s="70"/>
      <c r="D92" s="73" t="s">
        <v>96</v>
      </c>
      <c r="E92" s="68">
        <f>46209</f>
        <v>46209</v>
      </c>
      <c r="F92" s="68">
        <f>47935</f>
        <v>47935</v>
      </c>
      <c r="J92" s="69" t="s">
        <v>97</v>
      </c>
      <c r="K92" s="34">
        <v>0.329244965</v>
      </c>
      <c r="L92" s="34">
        <v>0.092659104</v>
      </c>
      <c r="M92" s="34">
        <v>10.65743073</v>
      </c>
      <c r="N92" s="34">
        <v>0.32146862</v>
      </c>
      <c r="O92" s="34">
        <v>1.651727256</v>
      </c>
      <c r="P92" s="34">
        <v>0.07660903</v>
      </c>
      <c r="Q92" s="34">
        <v>1.192723343</v>
      </c>
    </row>
    <row r="93">
      <c r="A93" s="74"/>
      <c r="B93" s="70"/>
      <c r="C93" s="70"/>
      <c r="D93" s="73" t="s">
        <v>98</v>
      </c>
      <c r="E93" s="73">
        <f t="shared" ref="E93:F93" si="44">B20</f>
        <v>23622</v>
      </c>
      <c r="F93" s="68">
        <f t="shared" si="44"/>
        <v>29164</v>
      </c>
      <c r="J93" s="69" t="s">
        <v>99</v>
      </c>
      <c r="K93" s="34">
        <v>0.043646693</v>
      </c>
      <c r="L93" s="34">
        <v>0.064881839</v>
      </c>
      <c r="M93" s="34">
        <v>3.561560617</v>
      </c>
      <c r="N93" s="34">
        <v>0.288963616</v>
      </c>
      <c r="O93" s="34">
        <v>1.158631525</v>
      </c>
      <c r="P93" s="34">
        <v>0.217321231</v>
      </c>
      <c r="Q93" s="34">
        <v>0.91758319</v>
      </c>
    </row>
    <row r="94">
      <c r="A94" s="62" t="s">
        <v>100</v>
      </c>
      <c r="B94" s="75">
        <f>D72/D80</f>
        <v>1.034278323</v>
      </c>
      <c r="C94" s="70"/>
      <c r="D94" s="70"/>
      <c r="J94" s="69" t="s">
        <v>101</v>
      </c>
      <c r="K94" s="34">
        <v>-1.203307231</v>
      </c>
      <c r="L94" s="34">
        <v>-0.072183415</v>
      </c>
      <c r="M94" s="34">
        <v>-3.067794624</v>
      </c>
      <c r="N94" s="34">
        <v>0.192360379</v>
      </c>
      <c r="O94" s="34">
        <v>1.596805221</v>
      </c>
      <c r="P94" s="34">
        <v>0.199573867</v>
      </c>
      <c r="Q94" s="34">
        <v>0.952817788</v>
      </c>
    </row>
    <row r="95">
      <c r="A95" s="62" t="s">
        <v>102</v>
      </c>
      <c r="B95" s="75">
        <f>(D67+D68+D69)/D80</f>
        <v>0.4981944594</v>
      </c>
      <c r="C95" s="70"/>
      <c r="D95" s="70"/>
      <c r="J95" s="76" t="s">
        <v>103</v>
      </c>
      <c r="K95" s="34">
        <v>0.129713507</v>
      </c>
      <c r="L95" s="34">
        <v>0.041212392</v>
      </c>
      <c r="M95" s="34">
        <v>4.040752351</v>
      </c>
      <c r="N95" s="34">
        <v>0.317992387</v>
      </c>
      <c r="O95" s="34">
        <v>1.843070728</v>
      </c>
      <c r="P95" s="34">
        <v>0.069580078</v>
      </c>
      <c r="Q95" s="34">
        <v>0.765136719</v>
      </c>
    </row>
    <row r="96">
      <c r="A96" s="62" t="s">
        <v>55</v>
      </c>
      <c r="B96" s="77">
        <f>(D67+D68)/D80</f>
        <v>0.4118788401</v>
      </c>
      <c r="C96" s="70"/>
      <c r="D96" s="70"/>
      <c r="J96" s="76" t="s">
        <v>104</v>
      </c>
      <c r="K96" s="34">
        <v>0.136191114</v>
      </c>
      <c r="L96" s="34">
        <v>0.038775102</v>
      </c>
      <c r="M96" s="34">
        <v>3.43164557</v>
      </c>
      <c r="N96" s="34">
        <v>0.27158468</v>
      </c>
      <c r="O96" s="34">
        <v>1.635002125</v>
      </c>
      <c r="P96" s="34">
        <v>0.334949349</v>
      </c>
      <c r="Q96" s="34">
        <v>0.64081042</v>
      </c>
    </row>
    <row r="97">
      <c r="A97" s="62" t="s">
        <v>105</v>
      </c>
      <c r="B97" s="78">
        <f>(D69+D70)-D75</f>
        <v>1536</v>
      </c>
      <c r="C97" s="79"/>
      <c r="D97" s="70"/>
      <c r="J97" s="76" t="s">
        <v>106</v>
      </c>
      <c r="K97" s="34">
        <v>0.050899585</v>
      </c>
      <c r="L97" s="34">
        <v>0.027550896</v>
      </c>
      <c r="M97" s="34">
        <v>2.582857143</v>
      </c>
      <c r="N97" s="34">
        <v>0.271962824</v>
      </c>
      <c r="O97" s="34">
        <v>1.504260334</v>
      </c>
      <c r="P97" s="34">
        <v>0.243146186</v>
      </c>
      <c r="Q97" s="34">
        <v>0.740036787</v>
      </c>
    </row>
    <row r="98">
      <c r="J98" s="76" t="s">
        <v>107</v>
      </c>
      <c r="K98" s="34">
        <v>0.207762925</v>
      </c>
      <c r="L98" s="34">
        <v>0.031974659</v>
      </c>
      <c r="M98" s="34">
        <v>1.966911765</v>
      </c>
      <c r="N98" s="34">
        <v>0.196627695</v>
      </c>
      <c r="O98" s="34">
        <v>3.057312682</v>
      </c>
      <c r="P98" s="34">
        <v>0.230263989</v>
      </c>
      <c r="Q98" s="34">
        <v>0.610584817</v>
      </c>
    </row>
    <row r="99">
      <c r="J99" s="76" t="s">
        <v>108</v>
      </c>
      <c r="K99" s="80"/>
      <c r="L99" s="34">
        <v>-6.447E-4</v>
      </c>
      <c r="M99" s="34">
        <v>-0.037260549</v>
      </c>
      <c r="N99" s="34">
        <v>-0.021444503</v>
      </c>
      <c r="O99" s="30"/>
      <c r="P99" s="34">
        <v>0.230918016</v>
      </c>
      <c r="Q99" s="34">
        <v>0.547809466</v>
      </c>
    </row>
    <row r="100">
      <c r="J100" s="76" t="s">
        <v>109</v>
      </c>
      <c r="K100" s="34">
        <v>0.311010382</v>
      </c>
      <c r="L100" s="34">
        <v>0.039829641</v>
      </c>
      <c r="M100" s="34">
        <v>8.009569378</v>
      </c>
      <c r="N100" s="34">
        <v>0.212834225</v>
      </c>
      <c r="O100" s="34">
        <v>2.691974235</v>
      </c>
      <c r="P100" s="34">
        <v>0.055825611</v>
      </c>
      <c r="Q100" s="34">
        <v>0.668768039</v>
      </c>
    </row>
    <row r="101">
      <c r="A101" s="81" t="s">
        <v>110</v>
      </c>
      <c r="C101" s="82"/>
      <c r="J101" s="83" t="s">
        <v>111</v>
      </c>
      <c r="K101" s="34">
        <v>0.216074431</v>
      </c>
      <c r="L101" s="34">
        <v>0.065189026</v>
      </c>
      <c r="M101" s="34">
        <v>15.85847841</v>
      </c>
      <c r="N101" s="34">
        <v>0.541551929</v>
      </c>
      <c r="O101" s="34">
        <v>2.586215812</v>
      </c>
      <c r="P101" s="34">
        <v>0.165913255</v>
      </c>
      <c r="Q101" s="34">
        <v>0.824733519</v>
      </c>
    </row>
    <row r="102">
      <c r="A102" s="84" t="s">
        <v>112</v>
      </c>
      <c r="B102" s="85"/>
      <c r="C102" s="82"/>
      <c r="J102" s="83" t="s">
        <v>113</v>
      </c>
      <c r="K102" s="34">
        <v>0.106303183</v>
      </c>
      <c r="L102" s="34">
        <v>0.040717296</v>
      </c>
      <c r="M102" s="34">
        <v>26.10526316</v>
      </c>
      <c r="N102" s="34">
        <v>0.486809503</v>
      </c>
      <c r="O102" s="34">
        <v>1.682031927</v>
      </c>
      <c r="P102" s="34">
        <v>0.293344638</v>
      </c>
      <c r="Q102" s="34">
        <v>0.897329377</v>
      </c>
    </row>
    <row r="103">
      <c r="A103" s="86" t="s">
        <v>114</v>
      </c>
      <c r="B103" s="87">
        <f>FCFF!B17</f>
        <v>7875599.963</v>
      </c>
      <c r="C103" s="82"/>
      <c r="J103" s="83" t="s">
        <v>115</v>
      </c>
      <c r="K103" s="34">
        <v>0.080055351</v>
      </c>
      <c r="L103" s="34">
        <v>0.033900542</v>
      </c>
      <c r="M103" s="34">
        <v>1.194885405</v>
      </c>
      <c r="N103" s="34">
        <v>0.301704839</v>
      </c>
      <c r="O103" s="34">
        <v>1.234588314</v>
      </c>
      <c r="P103" s="34">
        <v>0.180988622</v>
      </c>
      <c r="Q103" s="34">
        <v>0.762961393</v>
      </c>
    </row>
    <row r="104">
      <c r="A104" s="88" t="s">
        <v>116</v>
      </c>
      <c r="B104" s="89">
        <f>FCFF!B20+FCFF!B29</f>
        <v>2661000</v>
      </c>
      <c r="C104" s="82"/>
      <c r="D104" s="84"/>
      <c r="E104" s="85"/>
      <c r="J104" s="83" t="s">
        <v>117</v>
      </c>
      <c r="K104" s="34">
        <v>0.024341596</v>
      </c>
      <c r="L104" s="34">
        <v>0.023458304</v>
      </c>
      <c r="M104" s="34">
        <v>5.513357451</v>
      </c>
      <c r="N104" s="34">
        <v>0.079175996</v>
      </c>
      <c r="O104" s="34">
        <v>0.729771811</v>
      </c>
      <c r="P104" s="34">
        <v>0.252581611</v>
      </c>
      <c r="Q104" s="34">
        <v>1.029591778</v>
      </c>
    </row>
    <row r="105">
      <c r="A105" s="86" t="s">
        <v>118</v>
      </c>
      <c r="B105" s="90">
        <f>B104/B103</f>
        <v>0.3378790203</v>
      </c>
      <c r="C105" s="82"/>
      <c r="D105" s="86"/>
      <c r="E105" s="87"/>
      <c r="J105" s="83" t="s">
        <v>119</v>
      </c>
      <c r="K105" s="34">
        <v>0.1685188</v>
      </c>
      <c r="L105" s="34">
        <v>0.072235639</v>
      </c>
      <c r="M105" s="34">
        <v>25.34686866</v>
      </c>
      <c r="N105" s="34">
        <v>0.380726156</v>
      </c>
      <c r="O105" s="34">
        <v>1.539491594</v>
      </c>
      <c r="P105" s="34">
        <v>0.383400552</v>
      </c>
      <c r="Q105" s="34">
        <v>1.195648482</v>
      </c>
    </row>
    <row r="106">
      <c r="A106" s="91"/>
      <c r="B106" s="90"/>
      <c r="C106" s="82"/>
      <c r="D106" s="86"/>
      <c r="E106" s="87"/>
      <c r="J106" s="83" t="s">
        <v>120</v>
      </c>
      <c r="K106" s="34">
        <v>-0.083400829</v>
      </c>
      <c r="L106" s="34">
        <v>0.033826284</v>
      </c>
      <c r="M106" s="34">
        <v>0.699040071</v>
      </c>
      <c r="N106" s="92">
        <v>0.358912934</v>
      </c>
      <c r="O106" s="34">
        <v>0.395951234</v>
      </c>
      <c r="P106" s="34">
        <v>0.235526073</v>
      </c>
      <c r="Q106" s="34">
        <v>0.560890009</v>
      </c>
    </row>
    <row r="107">
      <c r="A107" s="93" t="s">
        <v>121</v>
      </c>
      <c r="B107" s="87">
        <f>(5805000)+2668000</f>
        <v>8473000</v>
      </c>
      <c r="C107" s="94" t="s">
        <v>122</v>
      </c>
      <c r="D107" s="86"/>
      <c r="E107" s="90"/>
      <c r="J107" s="83" t="s">
        <v>123</v>
      </c>
      <c r="K107" s="34">
        <v>0.104188275</v>
      </c>
      <c r="L107" s="34">
        <v>0.064704358</v>
      </c>
      <c r="M107" s="34">
        <v>2.266773647</v>
      </c>
      <c r="N107" s="34">
        <v>0.235297671</v>
      </c>
      <c r="O107" s="34">
        <v>0.861678412</v>
      </c>
      <c r="P107" s="34">
        <v>0.070807706</v>
      </c>
      <c r="Q107" s="34">
        <v>0.580533262</v>
      </c>
    </row>
    <row r="108">
      <c r="A108" s="93" t="s">
        <v>124</v>
      </c>
      <c r="B108" s="95">
        <v>2.9164E7</v>
      </c>
      <c r="C108" s="94" t="s">
        <v>125</v>
      </c>
      <c r="D108" s="91"/>
      <c r="E108" s="90"/>
      <c r="J108" s="96" t="s">
        <v>126</v>
      </c>
      <c r="K108" s="34">
        <v>0.003830935</v>
      </c>
      <c r="L108" s="34">
        <v>0.014898256</v>
      </c>
      <c r="M108" s="34">
        <v>2.698734177</v>
      </c>
      <c r="N108" s="34">
        <v>0.355623543</v>
      </c>
      <c r="O108" s="34">
        <v>1.164792971</v>
      </c>
      <c r="P108" s="34">
        <v>0.430184872</v>
      </c>
      <c r="Q108" s="34">
        <v>0.961560995</v>
      </c>
    </row>
    <row r="109">
      <c r="A109" s="97" t="s">
        <v>127</v>
      </c>
      <c r="B109" s="98">
        <f>14161000-13335000</f>
        <v>826000</v>
      </c>
      <c r="C109" s="94" t="s">
        <v>125</v>
      </c>
      <c r="D109" s="93"/>
      <c r="E109" s="87"/>
      <c r="J109" s="30" t="s">
        <v>128</v>
      </c>
      <c r="K109" s="34">
        <v>-0.442230448</v>
      </c>
      <c r="L109" s="34">
        <v>-0.009947647</v>
      </c>
      <c r="M109" s="34">
        <v>-0.609457281</v>
      </c>
      <c r="N109" s="34">
        <v>0.109477395</v>
      </c>
      <c r="O109" s="34">
        <v>1.450002603</v>
      </c>
      <c r="P109" s="34">
        <v>0.313780688</v>
      </c>
      <c r="Q109" s="34">
        <v>0.759954823</v>
      </c>
    </row>
    <row r="110">
      <c r="A110" s="99" t="s">
        <v>129</v>
      </c>
      <c r="B110" s="100">
        <f>B107+B108-B109</f>
        <v>36811000</v>
      </c>
      <c r="D110" s="93"/>
      <c r="E110" s="95"/>
      <c r="J110" s="30" t="s">
        <v>130</v>
      </c>
      <c r="K110" s="34">
        <v>0.290718039</v>
      </c>
      <c r="L110" s="34">
        <v>0.046800189</v>
      </c>
      <c r="M110" s="34">
        <v>4.058479532</v>
      </c>
      <c r="N110" s="34">
        <v>0.184817249</v>
      </c>
      <c r="O110" s="34">
        <v>2.215267404</v>
      </c>
      <c r="P110" s="34">
        <v>0.102829638</v>
      </c>
      <c r="Q110" s="34">
        <v>0.609393232</v>
      </c>
    </row>
    <row r="111">
      <c r="A111" s="101"/>
      <c r="B111" s="101"/>
      <c r="D111" s="93"/>
      <c r="E111" s="95"/>
      <c r="J111" s="30" t="s">
        <v>131</v>
      </c>
      <c r="K111" s="34">
        <v>0.180302307</v>
      </c>
      <c r="L111" s="34">
        <v>0.02823414</v>
      </c>
      <c r="M111" s="34">
        <v>2.987782529</v>
      </c>
      <c r="N111" s="34">
        <v>0.247665209</v>
      </c>
      <c r="O111" s="34">
        <v>2.730504</v>
      </c>
      <c r="P111" s="34">
        <v>0.023331316</v>
      </c>
      <c r="Q111" s="34">
        <v>1.039371595</v>
      </c>
    </row>
    <row r="112">
      <c r="A112" s="102" t="s">
        <v>132</v>
      </c>
      <c r="B112" s="103">
        <f>B103/B110</f>
        <v>0.213946917</v>
      </c>
      <c r="D112" s="99"/>
      <c r="E112" s="101"/>
      <c r="J112" s="30" t="s">
        <v>133</v>
      </c>
      <c r="K112" s="34">
        <v>0.231375604</v>
      </c>
      <c r="L112" s="34">
        <v>0.080707755</v>
      </c>
      <c r="M112" s="34">
        <v>9.002051787</v>
      </c>
      <c r="N112" s="34">
        <v>0.464255249</v>
      </c>
      <c r="O112" s="34">
        <v>2.037253463</v>
      </c>
      <c r="P112" s="34">
        <v>0.213787585</v>
      </c>
      <c r="Q112" s="34">
        <v>1.015243673</v>
      </c>
    </row>
    <row r="113">
      <c r="D113" s="101"/>
      <c r="E113" s="101"/>
      <c r="J113" s="30" t="s">
        <v>134</v>
      </c>
      <c r="K113" s="34">
        <v>0.046745101</v>
      </c>
      <c r="L113" s="34">
        <v>0.048371968</v>
      </c>
      <c r="M113" s="34">
        <v>2.61278649</v>
      </c>
      <c r="N113" s="34">
        <v>0.522636174</v>
      </c>
      <c r="O113" s="34">
        <v>1.155656406</v>
      </c>
      <c r="P113" s="34">
        <v>0.238834517</v>
      </c>
      <c r="Q113" s="34">
        <v>1.235356948</v>
      </c>
    </row>
    <row r="114">
      <c r="D114" s="104"/>
      <c r="E114" s="105"/>
      <c r="J114" s="30" t="s">
        <v>135</v>
      </c>
      <c r="K114" s="34">
        <v>0.079794671</v>
      </c>
      <c r="L114" s="80"/>
      <c r="M114" s="30"/>
      <c r="N114" s="34">
        <v>0.377325478</v>
      </c>
      <c r="O114" s="34">
        <v>1.289165579</v>
      </c>
      <c r="P114" s="30"/>
      <c r="Q114" s="30"/>
    </row>
    <row r="115">
      <c r="A115" s="1"/>
      <c r="J115" s="30" t="s">
        <v>136</v>
      </c>
      <c r="K115" s="34">
        <v>0.374252211</v>
      </c>
      <c r="L115" s="34">
        <v>0.122370164</v>
      </c>
      <c r="M115" s="34">
        <v>25.27924052</v>
      </c>
      <c r="N115" s="34">
        <v>0.355431065</v>
      </c>
      <c r="O115" s="34">
        <v>1.452984009</v>
      </c>
      <c r="P115" s="34">
        <v>1.014783695</v>
      </c>
      <c r="Q115" s="34">
        <v>1.617112611</v>
      </c>
    </row>
    <row r="116">
      <c r="J116" s="30" t="s">
        <v>137</v>
      </c>
      <c r="K116" s="34">
        <v>0.583960757</v>
      </c>
      <c r="L116" s="34">
        <v>0.111816891</v>
      </c>
      <c r="M116" s="34">
        <v>80.79487179</v>
      </c>
      <c r="N116" s="34">
        <v>0.255219852</v>
      </c>
      <c r="O116" s="34">
        <v>1.744321543</v>
      </c>
      <c r="P116" s="34">
        <v>0.484647529</v>
      </c>
      <c r="Q116" s="34">
        <v>1.180141715</v>
      </c>
    </row>
    <row r="117">
      <c r="J117" s="30" t="s">
        <v>138</v>
      </c>
      <c r="K117" s="34">
        <v>0.419248944</v>
      </c>
      <c r="L117" s="34">
        <v>0.070123217</v>
      </c>
      <c r="M117" s="34">
        <v>10.72679152</v>
      </c>
      <c r="N117" s="34">
        <v>0.143678561</v>
      </c>
      <c r="O117" s="34">
        <v>1.241335801</v>
      </c>
      <c r="P117" s="34">
        <v>0.437708772</v>
      </c>
      <c r="Q117" s="34">
        <v>1.1567834</v>
      </c>
    </row>
    <row r="118">
      <c r="J118" s="30" t="s">
        <v>139</v>
      </c>
      <c r="K118" s="34">
        <v>-0.003662372</v>
      </c>
      <c r="L118" s="34">
        <v>0.017917644</v>
      </c>
      <c r="M118" s="34">
        <v>3.535250045</v>
      </c>
      <c r="N118" s="34">
        <v>0.393384811</v>
      </c>
      <c r="O118" s="34">
        <v>1.405021396</v>
      </c>
      <c r="P118" s="34">
        <v>0.179701622</v>
      </c>
      <c r="Q118" s="34">
        <v>1.441256893</v>
      </c>
    </row>
    <row r="119">
      <c r="J119" s="30" t="s">
        <v>140</v>
      </c>
      <c r="K119" s="34">
        <v>0.052878395</v>
      </c>
      <c r="L119" s="34">
        <v>0.022043358</v>
      </c>
      <c r="M119" s="34">
        <v>5.757291999</v>
      </c>
      <c r="N119" s="34">
        <v>0.620675255</v>
      </c>
      <c r="O119" s="34">
        <v>2.094266809</v>
      </c>
      <c r="P119" s="34">
        <v>1.209119751</v>
      </c>
      <c r="Q119" s="34">
        <v>3.220687811</v>
      </c>
    </row>
    <row r="120">
      <c r="J120" s="30" t="s">
        <v>141</v>
      </c>
      <c r="K120" s="34">
        <v>0.072240322</v>
      </c>
      <c r="L120" s="34">
        <v>0.027487985</v>
      </c>
      <c r="M120" s="34">
        <v>2927.0</v>
      </c>
      <c r="N120" s="34">
        <v>0.680086905</v>
      </c>
      <c r="O120" s="34">
        <v>2.394468319</v>
      </c>
      <c r="P120" s="34">
        <v>1.204237086</v>
      </c>
      <c r="Q120" s="34">
        <v>2.460978963</v>
      </c>
    </row>
    <row r="121">
      <c r="J121" s="30" t="s">
        <v>142</v>
      </c>
      <c r="K121" s="34">
        <v>-0.020934483</v>
      </c>
      <c r="L121" s="34">
        <v>0.005650766</v>
      </c>
      <c r="M121" s="34">
        <v>1.203761126</v>
      </c>
      <c r="N121" s="34">
        <v>0.30692045</v>
      </c>
      <c r="O121" s="34">
        <v>3.937558509</v>
      </c>
      <c r="P121" s="34">
        <v>0.031025302</v>
      </c>
      <c r="Q121" s="34">
        <v>1.570411039</v>
      </c>
    </row>
    <row r="122">
      <c r="J122" s="30" t="s">
        <v>143</v>
      </c>
      <c r="K122" s="34">
        <v>0.127988339</v>
      </c>
      <c r="L122" s="34">
        <v>0.010204133</v>
      </c>
      <c r="M122" s="34">
        <v>1.105604423</v>
      </c>
      <c r="N122" s="34">
        <v>0.48526639</v>
      </c>
      <c r="O122" s="34">
        <v>2.369932802</v>
      </c>
      <c r="P122" s="34">
        <v>0.110342903</v>
      </c>
      <c r="Q122" s="34">
        <v>0.991540024</v>
      </c>
    </row>
    <row r="123">
      <c r="J123" s="30" t="s">
        <v>144</v>
      </c>
      <c r="K123" s="34">
        <v>0.100909253</v>
      </c>
      <c r="L123" s="34">
        <v>0.018499698</v>
      </c>
      <c r="M123" s="34">
        <v>0.260447222</v>
      </c>
      <c r="N123" s="34">
        <v>0.385974315</v>
      </c>
      <c r="O123" s="34">
        <v>2.296694455</v>
      </c>
      <c r="P123" s="34">
        <v>0.317486635</v>
      </c>
      <c r="Q123" s="34">
        <v>0.812436001</v>
      </c>
    </row>
    <row r="124">
      <c r="J124" s="30" t="s">
        <v>145</v>
      </c>
      <c r="K124" s="34">
        <v>-1.203307231</v>
      </c>
      <c r="L124" s="34">
        <v>-0.072183415</v>
      </c>
      <c r="M124" s="34">
        <v>-3.067794624</v>
      </c>
      <c r="N124" s="34">
        <v>0.192360379</v>
      </c>
      <c r="O124" s="34">
        <v>1.596805221</v>
      </c>
      <c r="P124" s="34">
        <v>0.199573867</v>
      </c>
      <c r="Q124" s="34">
        <v>0.952817788</v>
      </c>
    </row>
    <row r="125">
      <c r="J125" s="30" t="s">
        <v>146</v>
      </c>
      <c r="K125" s="34">
        <v>0.142929778</v>
      </c>
      <c r="L125" s="34">
        <v>0.046862023</v>
      </c>
      <c r="M125" s="34">
        <v>4.3743148</v>
      </c>
      <c r="N125" s="34">
        <v>0.33776463</v>
      </c>
      <c r="O125" s="34">
        <v>1.440360196</v>
      </c>
      <c r="P125" s="34">
        <v>0.166689434</v>
      </c>
      <c r="Q125" s="34">
        <v>0.97612868</v>
      </c>
    </row>
    <row r="126">
      <c r="J126" s="30" t="s">
        <v>147</v>
      </c>
      <c r="K126" s="34">
        <v>0.088087797</v>
      </c>
      <c r="L126" s="34">
        <v>0.03695216</v>
      </c>
      <c r="M126" s="34">
        <v>1.453895883</v>
      </c>
      <c r="N126" s="34">
        <v>0.207438042</v>
      </c>
      <c r="O126" s="34">
        <v>1.295812043</v>
      </c>
      <c r="P126" s="34">
        <v>0.296619922</v>
      </c>
      <c r="Q126" s="34">
        <v>0.998810244</v>
      </c>
    </row>
    <row r="127">
      <c r="J127" s="30" t="s">
        <v>148</v>
      </c>
      <c r="K127" s="34">
        <v>0.13021397</v>
      </c>
      <c r="L127" s="34">
        <v>0.053483814</v>
      </c>
      <c r="M127" s="34">
        <v>3.828952473</v>
      </c>
      <c r="N127" s="34">
        <v>0.308303399</v>
      </c>
      <c r="O127" s="34">
        <v>1.865263894</v>
      </c>
      <c r="P127" s="34">
        <v>0.267576984</v>
      </c>
      <c r="Q127" s="34">
        <v>0.879038419</v>
      </c>
    </row>
    <row r="128">
      <c r="J128" s="30" t="s">
        <v>149</v>
      </c>
      <c r="K128" s="34">
        <v>0.082191689</v>
      </c>
      <c r="L128" s="34">
        <v>0.069378085</v>
      </c>
      <c r="M128" s="34">
        <v>12.69964851</v>
      </c>
      <c r="N128" s="34">
        <v>0.752917097</v>
      </c>
      <c r="O128" s="34">
        <v>1.121924494</v>
      </c>
      <c r="P128" s="34">
        <v>0.380095928</v>
      </c>
      <c r="Q128" s="34">
        <v>1.295386718</v>
      </c>
    </row>
    <row r="129">
      <c r="J129" s="30" t="s">
        <v>150</v>
      </c>
      <c r="K129" s="34">
        <v>0.028647215</v>
      </c>
      <c r="L129" s="34">
        <v>0.020285977</v>
      </c>
      <c r="M129" s="34">
        <v>2.735474006</v>
      </c>
      <c r="N129" s="34">
        <v>0.196927793</v>
      </c>
      <c r="O129" s="34">
        <v>1.631450797</v>
      </c>
      <c r="P129" s="34">
        <v>0.255572339</v>
      </c>
      <c r="Q129" s="34">
        <v>0.877095384</v>
      </c>
    </row>
    <row r="130">
      <c r="J130" s="30" t="s">
        <v>151</v>
      </c>
      <c r="K130" s="34">
        <v>-0.514390338</v>
      </c>
      <c r="L130" s="34">
        <v>-0.069855733</v>
      </c>
      <c r="M130" s="34">
        <v>-55.568</v>
      </c>
      <c r="N130" s="34">
        <v>0.334935078</v>
      </c>
      <c r="O130" s="34">
        <v>1.185736182</v>
      </c>
      <c r="P130" s="34">
        <v>0.026741821</v>
      </c>
      <c r="Q130" s="34">
        <v>1.412454838</v>
      </c>
    </row>
    <row r="131">
      <c r="J131" s="30" t="s">
        <v>152</v>
      </c>
      <c r="K131" s="34">
        <v>0.369645615</v>
      </c>
      <c r="L131" s="34">
        <v>0.065355363</v>
      </c>
      <c r="M131" s="30" t="s">
        <v>153</v>
      </c>
      <c r="N131" s="34">
        <v>0.354534296</v>
      </c>
      <c r="O131" s="34">
        <v>2.277690314</v>
      </c>
      <c r="P131" s="34">
        <v>0.389958057</v>
      </c>
      <c r="Q131" s="34">
        <v>0.993458516</v>
      </c>
    </row>
    <row r="132">
      <c r="J132" s="106" t="s">
        <v>64</v>
      </c>
      <c r="K132" s="107">
        <f t="shared" ref="K132:Q132" si="45">AVERAGE(K83:K131)</f>
        <v>0.0742123243</v>
      </c>
      <c r="L132" s="107">
        <f t="shared" si="45"/>
        <v>0.03927642066</v>
      </c>
      <c r="M132" s="107">
        <f t="shared" si="45"/>
        <v>68.44603679</v>
      </c>
      <c r="N132" s="107">
        <f t="shared" si="45"/>
        <v>0.7470150542</v>
      </c>
      <c r="O132" s="107">
        <f t="shared" si="45"/>
        <v>1.726741716</v>
      </c>
      <c r="P132" s="107">
        <f t="shared" si="45"/>
        <v>0.2942544343</v>
      </c>
      <c r="Q132" s="107">
        <f t="shared" si="45"/>
        <v>1.047715294</v>
      </c>
    </row>
    <row r="133">
      <c r="M133" s="108"/>
    </row>
    <row r="134">
      <c r="J134" s="109"/>
      <c r="K134" s="26" t="s">
        <v>56</v>
      </c>
      <c r="L134" s="36" t="s">
        <v>44</v>
      </c>
      <c r="M134" s="26" t="s">
        <v>57</v>
      </c>
      <c r="N134" s="26" t="s">
        <v>48</v>
      </c>
      <c r="O134" s="36" t="s">
        <v>46</v>
      </c>
      <c r="P134" s="26" t="s">
        <v>55</v>
      </c>
      <c r="Q134" s="26" t="s">
        <v>54</v>
      </c>
    </row>
    <row r="135">
      <c r="J135" s="41" t="s">
        <v>38</v>
      </c>
      <c r="K135" s="107">
        <f t="shared" ref="K135:Q135" si="46">K76</f>
        <v>0.3068616679</v>
      </c>
      <c r="L135" s="107">
        <f t="shared" si="46"/>
        <v>0.0384680933</v>
      </c>
      <c r="M135" s="107">
        <f t="shared" si="46"/>
        <v>67.42207792</v>
      </c>
      <c r="N135" s="107">
        <f t="shared" si="46"/>
        <v>2.783503202</v>
      </c>
      <c r="O135" s="107">
        <f t="shared" si="46"/>
        <v>3.674021643</v>
      </c>
      <c r="P135" s="110">
        <f t="shared" si="46"/>
        <v>0.4118788401</v>
      </c>
      <c r="Q135" s="111">
        <f t="shared" si="46"/>
        <v>1.034278323</v>
      </c>
    </row>
    <row r="136">
      <c r="J136" s="19" t="s">
        <v>154</v>
      </c>
      <c r="K136" s="9">
        <f t="shared" ref="K136:Q136" si="47">K132</f>
        <v>0.0742123243</v>
      </c>
      <c r="L136" s="9">
        <f t="shared" si="47"/>
        <v>0.03927642066</v>
      </c>
      <c r="M136" s="112">
        <f t="shared" si="47"/>
        <v>68.44603679</v>
      </c>
      <c r="N136" s="9">
        <f t="shared" si="47"/>
        <v>0.7470150542</v>
      </c>
      <c r="O136" s="9">
        <f t="shared" si="47"/>
        <v>1.726741716</v>
      </c>
      <c r="P136" s="9">
        <f t="shared" si="47"/>
        <v>0.2942544343</v>
      </c>
      <c r="Q136" s="9">
        <f t="shared" si="47"/>
        <v>1.047715294</v>
      </c>
    </row>
    <row r="137">
      <c r="M137" s="82"/>
    </row>
    <row r="138">
      <c r="M138" s="108"/>
    </row>
    <row r="139">
      <c r="M139" s="82"/>
    </row>
    <row r="140">
      <c r="M140" s="108"/>
    </row>
    <row r="141">
      <c r="M141" s="108"/>
    </row>
    <row r="142">
      <c r="M142" s="108"/>
    </row>
    <row r="144">
      <c r="J144" s="113"/>
      <c r="K144" s="30"/>
      <c r="L144" s="30"/>
      <c r="M144" s="30"/>
      <c r="N144" s="30"/>
      <c r="O144" s="30"/>
      <c r="P144" s="30"/>
      <c r="Q144" s="30"/>
      <c r="R144" s="30"/>
    </row>
    <row r="145">
      <c r="J145" s="113"/>
      <c r="K145" s="30"/>
      <c r="L145" s="30"/>
      <c r="M145" s="30"/>
      <c r="N145" s="30"/>
      <c r="O145" s="113"/>
      <c r="P145" s="30"/>
      <c r="Q145" s="30"/>
      <c r="R145" s="30"/>
    </row>
    <row r="146">
      <c r="J146" s="30"/>
      <c r="K146" s="34"/>
      <c r="L146" s="34"/>
      <c r="M146" s="34"/>
      <c r="N146" s="34"/>
      <c r="O146" s="34"/>
      <c r="P146" s="34"/>
      <c r="Q146" s="34"/>
      <c r="R146" s="34"/>
    </row>
    <row r="147">
      <c r="J147" s="30"/>
      <c r="K147" s="34"/>
      <c r="L147" s="34"/>
      <c r="M147" s="34"/>
      <c r="N147" s="34"/>
      <c r="O147" s="34"/>
      <c r="P147" s="34"/>
      <c r="Q147" s="34"/>
      <c r="R147" s="34"/>
    </row>
    <row r="148">
      <c r="J148" s="30"/>
      <c r="K148" s="34"/>
      <c r="L148" s="34"/>
      <c r="M148" s="34"/>
      <c r="N148" s="34"/>
      <c r="O148" s="34"/>
      <c r="P148" s="34"/>
      <c r="Q148" s="34"/>
      <c r="R148" s="34"/>
    </row>
    <row r="149">
      <c r="J149" s="30"/>
      <c r="K149" s="34"/>
      <c r="L149" s="34"/>
      <c r="M149" s="34"/>
      <c r="N149" s="34"/>
      <c r="O149" s="34"/>
      <c r="P149" s="34"/>
      <c r="Q149" s="34"/>
      <c r="R149" s="34"/>
    </row>
    <row r="150">
      <c r="J150" s="30"/>
      <c r="K150" s="34"/>
      <c r="L150" s="34"/>
      <c r="M150" s="34"/>
      <c r="N150" s="34"/>
      <c r="O150" s="34"/>
      <c r="P150" s="34"/>
      <c r="Q150" s="34"/>
      <c r="R150" s="34"/>
    </row>
    <row r="151">
      <c r="J151" s="30"/>
      <c r="K151" s="34"/>
      <c r="L151" s="34"/>
      <c r="M151" s="34"/>
      <c r="N151" s="34"/>
      <c r="O151" s="34"/>
      <c r="P151" s="34"/>
      <c r="Q151" s="34"/>
      <c r="R151" s="34"/>
    </row>
    <row r="152">
      <c r="J152" s="30"/>
      <c r="K152" s="34"/>
      <c r="L152" s="34"/>
      <c r="M152" s="34"/>
      <c r="N152" s="34"/>
      <c r="O152" s="34"/>
      <c r="P152" s="34"/>
      <c r="Q152" s="34"/>
      <c r="R152" s="34"/>
    </row>
    <row r="153">
      <c r="J153" s="30"/>
      <c r="K153" s="34"/>
      <c r="L153" s="34"/>
      <c r="M153" s="34"/>
      <c r="N153" s="34"/>
      <c r="O153" s="34"/>
      <c r="P153" s="34"/>
      <c r="Q153" s="34"/>
      <c r="R153" s="34"/>
    </row>
    <row r="154">
      <c r="J154" s="30"/>
      <c r="K154" s="34"/>
      <c r="L154" s="34"/>
      <c r="M154" s="34"/>
      <c r="N154" s="34"/>
      <c r="O154" s="34"/>
      <c r="P154" s="34"/>
      <c r="Q154" s="34"/>
      <c r="R154" s="34"/>
    </row>
    <row r="155">
      <c r="J155" s="30"/>
      <c r="K155" s="34"/>
      <c r="L155" s="34"/>
      <c r="M155" s="34"/>
      <c r="N155" s="34"/>
      <c r="O155" s="34"/>
      <c r="P155" s="34"/>
      <c r="Q155" s="34"/>
      <c r="R155" s="34"/>
    </row>
    <row r="156">
      <c r="J156" s="30"/>
      <c r="K156" s="80"/>
      <c r="L156" s="34"/>
      <c r="M156" s="34"/>
      <c r="N156" s="34"/>
      <c r="O156" s="34"/>
      <c r="P156" s="30"/>
      <c r="Q156" s="34"/>
      <c r="R156" s="34"/>
    </row>
    <row r="157">
      <c r="J157" s="30"/>
      <c r="K157" s="34"/>
      <c r="L157" s="34"/>
      <c r="M157" s="34"/>
      <c r="N157" s="34"/>
      <c r="O157" s="34"/>
      <c r="P157" s="34"/>
      <c r="Q157" s="34"/>
      <c r="R157" s="34"/>
    </row>
    <row r="158">
      <c r="J158" s="30"/>
      <c r="K158" s="34"/>
      <c r="L158" s="34"/>
      <c r="M158" s="34"/>
      <c r="N158" s="34"/>
      <c r="O158" s="34"/>
      <c r="P158" s="34"/>
      <c r="Q158" s="34"/>
      <c r="R158" s="34"/>
    </row>
    <row r="159">
      <c r="J159" s="30"/>
      <c r="K159" s="34"/>
      <c r="L159" s="34"/>
      <c r="M159" s="34"/>
      <c r="N159" s="34"/>
      <c r="O159" s="34"/>
      <c r="P159" s="34"/>
      <c r="Q159" s="34"/>
      <c r="R159" s="34"/>
    </row>
    <row r="160">
      <c r="J160" s="30"/>
      <c r="K160" s="34"/>
      <c r="L160" s="34"/>
      <c r="M160" s="34"/>
      <c r="N160" s="34"/>
      <c r="O160" s="34"/>
      <c r="P160" s="34"/>
      <c r="Q160" s="34"/>
      <c r="R160" s="34"/>
    </row>
    <row r="161">
      <c r="J161" s="30"/>
      <c r="K161" s="34"/>
      <c r="L161" s="34"/>
      <c r="N161" s="34"/>
      <c r="O161" s="34"/>
      <c r="P161" s="34"/>
      <c r="Q161" s="34"/>
      <c r="R161" s="34"/>
    </row>
    <row r="162">
      <c r="J162" s="30"/>
      <c r="K162" s="34"/>
      <c r="L162" s="34"/>
      <c r="M162" s="34"/>
      <c r="N162" s="34"/>
      <c r="O162" s="34"/>
      <c r="P162" s="34"/>
      <c r="Q162" s="34"/>
      <c r="R162" s="34"/>
    </row>
    <row r="163">
      <c r="J163" s="30"/>
      <c r="K163" s="34"/>
      <c r="L163" s="34"/>
      <c r="M163" s="34"/>
      <c r="N163" s="92"/>
      <c r="O163" s="34"/>
      <c r="P163" s="34"/>
      <c r="Q163" s="34"/>
      <c r="R163" s="34"/>
    </row>
    <row r="164">
      <c r="J164" s="30"/>
      <c r="K164" s="34"/>
      <c r="L164" s="34"/>
      <c r="M164" s="34"/>
      <c r="N164" s="34"/>
      <c r="O164" s="34"/>
      <c r="P164" s="34"/>
      <c r="Q164" s="34"/>
      <c r="R164" s="34"/>
    </row>
    <row r="165">
      <c r="J165" s="30"/>
      <c r="K165" s="34"/>
      <c r="L165" s="34"/>
      <c r="M165" s="34"/>
      <c r="N165" s="34"/>
      <c r="O165" s="34"/>
      <c r="P165" s="34"/>
      <c r="Q165" s="34"/>
      <c r="R165" s="34"/>
    </row>
    <row r="166">
      <c r="J166" s="30"/>
      <c r="K166" s="34"/>
      <c r="L166" s="34"/>
      <c r="M166" s="34"/>
      <c r="N166" s="34"/>
      <c r="O166" s="34"/>
      <c r="P166" s="34"/>
      <c r="Q166" s="34"/>
      <c r="R166" s="34"/>
    </row>
    <row r="167">
      <c r="J167" s="30"/>
      <c r="K167" s="34"/>
      <c r="L167" s="34"/>
      <c r="M167" s="34"/>
      <c r="N167" s="34"/>
      <c r="O167" s="34"/>
      <c r="P167" s="34"/>
      <c r="Q167" s="34"/>
      <c r="R167" s="34"/>
    </row>
    <row r="168">
      <c r="J168" s="30"/>
      <c r="K168" s="34"/>
      <c r="L168" s="34"/>
      <c r="M168" s="34"/>
      <c r="N168" s="34"/>
      <c r="O168" s="34"/>
      <c r="P168" s="34"/>
      <c r="Q168" s="34"/>
      <c r="R168" s="34"/>
    </row>
    <row r="169">
      <c r="J169" s="30"/>
      <c r="K169" s="34"/>
      <c r="L169" s="34"/>
      <c r="M169" s="34"/>
      <c r="N169" s="34"/>
      <c r="O169" s="34"/>
      <c r="P169" s="34"/>
      <c r="Q169" s="34"/>
      <c r="R169" s="34"/>
    </row>
    <row r="170">
      <c r="J170" s="30"/>
      <c r="K170" s="34"/>
      <c r="L170" s="34"/>
      <c r="M170" s="34"/>
      <c r="N170" s="34"/>
      <c r="O170" s="34"/>
      <c r="P170" s="34"/>
      <c r="Q170" s="34"/>
      <c r="R170" s="34"/>
    </row>
    <row r="171">
      <c r="J171" s="30"/>
      <c r="K171" s="34"/>
      <c r="L171" s="80"/>
      <c r="M171" s="30"/>
      <c r="N171" s="34"/>
      <c r="O171" s="34"/>
      <c r="P171" s="34"/>
      <c r="Q171" s="30"/>
      <c r="R171" s="30"/>
    </row>
    <row r="172">
      <c r="J172" s="30"/>
      <c r="K172" s="34"/>
      <c r="L172" s="34"/>
      <c r="M172" s="34"/>
      <c r="N172" s="34"/>
      <c r="O172" s="34"/>
      <c r="P172" s="34"/>
      <c r="Q172" s="34"/>
      <c r="R172" s="34"/>
    </row>
    <row r="173">
      <c r="J173" s="30"/>
      <c r="K173" s="34"/>
      <c r="L173" s="34"/>
      <c r="M173" s="34"/>
      <c r="N173" s="34"/>
      <c r="O173" s="34"/>
      <c r="P173" s="34"/>
      <c r="Q173" s="34"/>
      <c r="R173" s="34"/>
    </row>
    <row r="174">
      <c r="J174" s="30"/>
      <c r="K174" s="34"/>
      <c r="L174" s="34"/>
      <c r="M174" s="34"/>
      <c r="N174" s="34"/>
      <c r="O174" s="34"/>
      <c r="P174" s="34"/>
      <c r="Q174" s="34"/>
      <c r="R174" s="34"/>
    </row>
    <row r="175">
      <c r="J175" s="30"/>
      <c r="K175" s="34"/>
      <c r="L175" s="34"/>
      <c r="M175" s="34"/>
      <c r="N175" s="34"/>
      <c r="O175" s="34"/>
      <c r="P175" s="34"/>
      <c r="Q175" s="34"/>
      <c r="R175" s="34"/>
    </row>
    <row r="176">
      <c r="J176" s="30"/>
      <c r="K176" s="34"/>
      <c r="L176" s="34"/>
      <c r="M176" s="34"/>
      <c r="N176" s="34"/>
      <c r="O176" s="34"/>
      <c r="P176" s="34"/>
      <c r="Q176" s="34"/>
      <c r="R176" s="34"/>
    </row>
    <row r="177">
      <c r="J177" s="30"/>
      <c r="K177" s="34"/>
      <c r="L177" s="34"/>
      <c r="M177" s="34"/>
      <c r="N177" s="34"/>
      <c r="O177" s="34"/>
      <c r="P177" s="34"/>
      <c r="Q177" s="34"/>
      <c r="R177" s="34"/>
    </row>
    <row r="178">
      <c r="J178" s="30"/>
      <c r="K178" s="34"/>
      <c r="L178" s="34"/>
      <c r="M178" s="34"/>
      <c r="N178" s="34"/>
      <c r="O178" s="34"/>
      <c r="P178" s="34"/>
      <c r="Q178" s="34"/>
      <c r="R178" s="34"/>
    </row>
    <row r="179">
      <c r="J179" s="30"/>
      <c r="K179" s="34"/>
      <c r="L179" s="34"/>
      <c r="M179" s="34"/>
      <c r="N179" s="34"/>
      <c r="O179" s="34"/>
      <c r="P179" s="34"/>
      <c r="Q179" s="34"/>
      <c r="R179" s="34"/>
    </row>
    <row r="180">
      <c r="J180" s="30"/>
      <c r="K180" s="34"/>
      <c r="L180" s="34"/>
      <c r="M180" s="34"/>
      <c r="N180" s="34"/>
      <c r="O180" s="34"/>
      <c r="P180" s="34"/>
      <c r="Q180" s="34"/>
      <c r="R180" s="34"/>
    </row>
    <row r="181">
      <c r="J181" s="30"/>
      <c r="K181" s="34"/>
      <c r="L181" s="34"/>
      <c r="M181" s="34"/>
      <c r="N181" s="34"/>
      <c r="O181" s="34"/>
      <c r="P181" s="34"/>
      <c r="Q181" s="34"/>
      <c r="R181" s="34"/>
    </row>
    <row r="182">
      <c r="J182" s="30"/>
      <c r="K182" s="34"/>
      <c r="L182" s="34"/>
      <c r="M182" s="34"/>
      <c r="N182" s="34"/>
      <c r="O182" s="34"/>
      <c r="P182" s="34"/>
      <c r="Q182" s="34"/>
      <c r="R182" s="34"/>
    </row>
    <row r="183">
      <c r="J183" s="30"/>
      <c r="K183" s="34"/>
      <c r="L183" s="34"/>
      <c r="M183" s="34"/>
      <c r="N183" s="34"/>
      <c r="O183" s="34"/>
      <c r="P183" s="34"/>
      <c r="Q183" s="34"/>
      <c r="R183" s="34"/>
    </row>
    <row r="184">
      <c r="J184" s="30"/>
      <c r="K184" s="34"/>
      <c r="L184" s="34"/>
      <c r="M184" s="34"/>
      <c r="N184" s="34"/>
      <c r="O184" s="34"/>
      <c r="P184" s="34"/>
      <c r="Q184" s="34"/>
      <c r="R184" s="34"/>
    </row>
    <row r="185">
      <c r="J185" s="30"/>
      <c r="K185" s="34"/>
      <c r="L185" s="34"/>
      <c r="M185" s="34"/>
      <c r="N185" s="34"/>
      <c r="O185" s="34"/>
      <c r="P185" s="34"/>
      <c r="Q185" s="34"/>
      <c r="R185" s="34"/>
    </row>
    <row r="186">
      <c r="J186" s="30"/>
      <c r="K186" s="34"/>
      <c r="L186" s="34"/>
      <c r="M186" s="34"/>
      <c r="N186" s="34"/>
      <c r="O186" s="34"/>
      <c r="P186" s="34"/>
      <c r="Q186" s="34"/>
      <c r="R186" s="34"/>
    </row>
    <row r="187">
      <c r="J187" s="30"/>
      <c r="K187" s="34"/>
      <c r="L187" s="34"/>
      <c r="M187" s="34"/>
      <c r="N187" s="34"/>
      <c r="O187" s="34"/>
      <c r="P187" s="34"/>
      <c r="Q187" s="34"/>
      <c r="R187" s="34"/>
    </row>
    <row r="188">
      <c r="J188" s="30"/>
      <c r="K188" s="34"/>
      <c r="L188" s="34"/>
      <c r="M188" s="30"/>
      <c r="N188" s="34"/>
      <c r="O188" s="34"/>
      <c r="P188" s="34"/>
      <c r="Q188" s="34"/>
      <c r="R188" s="34"/>
    </row>
  </sheetData>
  <mergeCells count="1">
    <mergeCell ref="A101:B101"/>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3" width="15.63"/>
    <col customWidth="1" min="4" max="4" width="19.13"/>
    <col customWidth="1" min="6" max="6" width="31.75"/>
    <col customWidth="1" min="9" max="9" width="15.13"/>
    <col customWidth="1" min="10" max="10" width="14.25"/>
    <col customWidth="1" min="12" max="12" width="13.63"/>
    <col customWidth="1" min="13" max="13" width="15.38"/>
    <col customWidth="1" min="16" max="16" width="15.13"/>
  </cols>
  <sheetData>
    <row r="1">
      <c r="A1" s="114" t="s">
        <v>155</v>
      </c>
      <c r="B1" s="115" t="s">
        <v>156</v>
      </c>
      <c r="C1" s="116" t="s">
        <v>157</v>
      </c>
      <c r="D1" s="117" t="s">
        <v>158</v>
      </c>
      <c r="E1" s="82"/>
      <c r="F1" s="82"/>
      <c r="G1" s="82"/>
    </row>
    <row r="2">
      <c r="A2" s="118">
        <v>44136.0</v>
      </c>
      <c r="B2" s="119">
        <v>361.22</v>
      </c>
      <c r="C2" s="120">
        <f t="shared" ref="C2:C65" si="1">IF(B2&lt;&gt;"",LN(B2),"")
</f>
        <v>5.889487191</v>
      </c>
      <c r="D2" s="121">
        <f t="shared" ref="D2:D65" si="2">IF(AND(B3&lt;&gt;"",B2&lt;&gt;""),LN(B3/B2),"")
</f>
        <v>-0.03901033719</v>
      </c>
      <c r="E2" s="82"/>
      <c r="F2" s="122" t="s">
        <v>159</v>
      </c>
      <c r="G2" s="123">
        <f>COUNT(D:D)</f>
        <v>61</v>
      </c>
      <c r="I2" s="124" t="s">
        <v>160</v>
      </c>
    </row>
    <row r="3">
      <c r="A3" s="118">
        <v>44166.0</v>
      </c>
      <c r="B3" s="119">
        <v>347.4</v>
      </c>
      <c r="C3" s="120">
        <f t="shared" si="1"/>
        <v>5.850476854</v>
      </c>
      <c r="D3" s="121">
        <f t="shared" si="2"/>
        <v>-0.04095393567</v>
      </c>
      <c r="E3" s="82"/>
      <c r="F3" s="122" t="s">
        <v>161</v>
      </c>
      <c r="G3" s="125">
        <f>AVERAGE(D:D)</f>
        <v>0.01541627917</v>
      </c>
      <c r="I3" s="126" t="s">
        <v>162</v>
      </c>
      <c r="J3" s="127" t="s">
        <v>163</v>
      </c>
      <c r="K3" s="128" t="s">
        <v>164</v>
      </c>
      <c r="L3" s="122" t="s">
        <v>165</v>
      </c>
      <c r="M3" s="122" t="s">
        <v>166</v>
      </c>
      <c r="N3" s="82"/>
    </row>
    <row r="4">
      <c r="A4" s="118">
        <v>44197.0</v>
      </c>
      <c r="B4" s="119">
        <v>333.46</v>
      </c>
      <c r="C4" s="120">
        <f t="shared" si="1"/>
        <v>5.809522918</v>
      </c>
      <c r="D4" s="121">
        <f t="shared" si="2"/>
        <v>-0.06274481302</v>
      </c>
      <c r="E4" s="82"/>
      <c r="F4" s="122" t="s">
        <v>167</v>
      </c>
      <c r="G4" s="125">
        <f>_xlfn.STDEV.S(D:D)
</f>
        <v>0.06628791406</v>
      </c>
      <c r="I4" s="129">
        <f>G7</f>
        <v>925.08</v>
      </c>
      <c r="J4" s="130">
        <f>G5</f>
        <v>0.18499535</v>
      </c>
      <c r="K4" s="131">
        <f>G6</f>
        <v>0.2296280702</v>
      </c>
      <c r="L4" s="132">
        <v>2.0</v>
      </c>
      <c r="M4" s="132">
        <v>24.0</v>
      </c>
      <c r="N4" s="82"/>
    </row>
    <row r="5">
      <c r="A5" s="118">
        <v>44228.0</v>
      </c>
      <c r="B5" s="119">
        <v>313.18</v>
      </c>
      <c r="C5" s="120">
        <f t="shared" si="1"/>
        <v>5.746778105</v>
      </c>
      <c r="D5" s="121">
        <f t="shared" si="2"/>
        <v>0.06487174041</v>
      </c>
      <c r="E5" s="82"/>
      <c r="F5" s="122" t="s">
        <v>168</v>
      </c>
      <c r="G5" s="125">
        <f>12*G3
</f>
        <v>0.18499535</v>
      </c>
      <c r="I5" s="133"/>
      <c r="J5" s="134"/>
      <c r="K5" s="135"/>
      <c r="L5" s="82"/>
      <c r="M5" s="82"/>
      <c r="N5" s="82"/>
    </row>
    <row r="6">
      <c r="A6" s="118">
        <v>44256.0</v>
      </c>
      <c r="B6" s="119">
        <v>334.17</v>
      </c>
      <c r="C6" s="120">
        <f t="shared" si="1"/>
        <v>5.811649846</v>
      </c>
      <c r="D6" s="121">
        <f t="shared" si="2"/>
        <v>0.05413809349</v>
      </c>
      <c r="E6" s="82"/>
      <c r="F6" s="122" t="s">
        <v>164</v>
      </c>
      <c r="G6" s="125">
        <f>SQRT(12)*G4
</f>
        <v>0.2296280702</v>
      </c>
      <c r="I6" s="136" t="s">
        <v>169</v>
      </c>
      <c r="N6" s="82"/>
    </row>
    <row r="7">
      <c r="A7" s="118">
        <v>44287.0</v>
      </c>
      <c r="B7" s="119">
        <v>352.76</v>
      </c>
      <c r="C7" s="120">
        <f t="shared" si="1"/>
        <v>5.865787939</v>
      </c>
      <c r="D7" s="121">
        <f t="shared" si="2"/>
        <v>0.01859238548</v>
      </c>
      <c r="E7" s="82"/>
      <c r="F7" s="122" t="s">
        <v>170</v>
      </c>
      <c r="G7" s="137">
        <f>B63</f>
        <v>925.08</v>
      </c>
      <c r="I7" s="138" t="s">
        <v>162</v>
      </c>
      <c r="J7" s="139" t="s">
        <v>163</v>
      </c>
      <c r="K7" s="140" t="s">
        <v>164</v>
      </c>
      <c r="L7" s="141" t="s">
        <v>165</v>
      </c>
      <c r="M7" s="141" t="s">
        <v>166</v>
      </c>
      <c r="N7" s="82"/>
    </row>
    <row r="8">
      <c r="A8" s="118">
        <v>44317.0</v>
      </c>
      <c r="B8" s="119">
        <v>359.38</v>
      </c>
      <c r="C8" s="120">
        <f t="shared" si="1"/>
        <v>5.884380324</v>
      </c>
      <c r="D8" s="121">
        <f t="shared" si="2"/>
        <v>0.0449960303</v>
      </c>
      <c r="E8" s="82"/>
      <c r="F8" s="82"/>
      <c r="G8" s="82"/>
      <c r="I8" s="129">
        <f>I4</f>
        <v>925.08</v>
      </c>
      <c r="J8" s="130">
        <v>0.23</v>
      </c>
      <c r="K8" s="142"/>
      <c r="L8" s="132">
        <v>2.0</v>
      </c>
      <c r="M8" s="132">
        <v>24.0</v>
      </c>
      <c r="N8" s="82"/>
    </row>
    <row r="9">
      <c r="A9" s="118">
        <v>44348.0</v>
      </c>
      <c r="B9" s="119">
        <v>375.92</v>
      </c>
      <c r="C9" s="120">
        <f t="shared" si="1"/>
        <v>5.929376355</v>
      </c>
      <c r="D9" s="121">
        <f t="shared" si="2"/>
        <v>0.08255236545</v>
      </c>
      <c r="E9" s="82"/>
      <c r="F9" s="143" t="s">
        <v>171</v>
      </c>
      <c r="G9" s="82"/>
      <c r="I9" s="133"/>
      <c r="J9" s="134"/>
      <c r="K9" s="135"/>
      <c r="L9" s="82"/>
      <c r="M9" s="82"/>
      <c r="N9" s="82"/>
    </row>
    <row r="10">
      <c r="A10" s="118">
        <v>44378.0</v>
      </c>
      <c r="B10" s="119">
        <v>408.27</v>
      </c>
      <c r="C10" s="120">
        <f t="shared" si="1"/>
        <v>6.01192872</v>
      </c>
      <c r="D10" s="121">
        <f t="shared" si="2"/>
        <v>0.06010147471</v>
      </c>
      <c r="E10" s="82"/>
      <c r="F10" s="82"/>
      <c r="G10" s="82"/>
      <c r="I10" s="136" t="s">
        <v>172</v>
      </c>
      <c r="N10" s="82"/>
    </row>
    <row r="11">
      <c r="A11" s="118">
        <v>44409.0</v>
      </c>
      <c r="B11" s="119">
        <v>433.56</v>
      </c>
      <c r="C11" s="120">
        <f t="shared" si="1"/>
        <v>6.072030195</v>
      </c>
      <c r="D11" s="121">
        <f t="shared" si="2"/>
        <v>-0.01356141906</v>
      </c>
      <c r="E11" s="82"/>
      <c r="F11" s="82"/>
      <c r="G11" s="82"/>
      <c r="I11" s="144" t="s">
        <v>162</v>
      </c>
      <c r="J11" s="145" t="s">
        <v>163</v>
      </c>
      <c r="K11" s="146" t="s">
        <v>164</v>
      </c>
      <c r="L11" s="147" t="s">
        <v>165</v>
      </c>
      <c r="M11" s="147" t="s">
        <v>166</v>
      </c>
      <c r="N11" s="82"/>
    </row>
    <row r="12">
      <c r="A12" s="118">
        <v>44440.0</v>
      </c>
      <c r="B12" s="119">
        <v>427.72</v>
      </c>
      <c r="C12" s="120">
        <f t="shared" si="1"/>
        <v>6.058468776</v>
      </c>
      <c r="D12" s="121">
        <f t="shared" si="2"/>
        <v>0.08972170366</v>
      </c>
      <c r="E12" s="82"/>
      <c r="F12" s="82"/>
      <c r="G12" s="82"/>
      <c r="I12" s="129">
        <f>I8</f>
        <v>925.08</v>
      </c>
      <c r="J12" s="130">
        <v>0.12</v>
      </c>
      <c r="K12" s="142"/>
      <c r="L12" s="132">
        <v>2.0</v>
      </c>
      <c r="M12" s="132">
        <v>24.0</v>
      </c>
      <c r="N12" s="82"/>
    </row>
    <row r="13">
      <c r="A13" s="118">
        <v>44470.0</v>
      </c>
      <c r="B13" s="119">
        <v>467.87</v>
      </c>
      <c r="C13" s="120">
        <f t="shared" si="1"/>
        <v>6.14819048</v>
      </c>
      <c r="D13" s="121">
        <f t="shared" si="2"/>
        <v>0.094499603</v>
      </c>
      <c r="E13" s="82"/>
      <c r="F13" s="82"/>
      <c r="G13" s="82"/>
      <c r="I13" s="133"/>
      <c r="J13" s="134"/>
      <c r="K13" s="135"/>
      <c r="L13" s="82"/>
      <c r="M13" s="82"/>
      <c r="N13" s="82"/>
    </row>
    <row r="14">
      <c r="A14" s="118">
        <v>44501.0</v>
      </c>
      <c r="B14" s="119">
        <v>514.24</v>
      </c>
      <c r="C14" s="120">
        <f t="shared" si="1"/>
        <v>6.242690083</v>
      </c>
      <c r="D14" s="121">
        <f t="shared" si="2"/>
        <v>0.05117272085</v>
      </c>
      <c r="E14" s="82"/>
      <c r="F14" s="82"/>
      <c r="G14" s="82"/>
    </row>
    <row r="15">
      <c r="A15" s="118">
        <v>44531.0</v>
      </c>
      <c r="B15" s="119">
        <v>541.24</v>
      </c>
      <c r="C15" s="120">
        <f t="shared" si="1"/>
        <v>6.293862803</v>
      </c>
      <c r="D15" s="121">
        <f t="shared" si="2"/>
        <v>-0.1167696737</v>
      </c>
      <c r="E15" s="82"/>
      <c r="F15" s="82"/>
      <c r="G15" s="82"/>
      <c r="I15" s="124" t="s">
        <v>173</v>
      </c>
      <c r="K15" s="11"/>
      <c r="L15" s="148" t="s">
        <v>174</v>
      </c>
      <c r="O15" s="148" t="s">
        <v>175</v>
      </c>
    </row>
    <row r="16">
      <c r="A16" s="118">
        <v>44562.0</v>
      </c>
      <c r="B16" s="119">
        <v>481.59</v>
      </c>
      <c r="C16" s="120">
        <f t="shared" si="1"/>
        <v>6.17709313</v>
      </c>
      <c r="D16" s="121">
        <f t="shared" si="2"/>
        <v>0.02756563791</v>
      </c>
      <c r="E16" s="82"/>
      <c r="F16" s="94"/>
      <c r="G16" s="82"/>
    </row>
    <row r="17">
      <c r="A17" s="118">
        <v>44593.0</v>
      </c>
      <c r="B17" s="119">
        <v>495.05</v>
      </c>
      <c r="C17" s="120">
        <f t="shared" si="1"/>
        <v>6.204658768</v>
      </c>
      <c r="D17" s="121">
        <f t="shared" si="2"/>
        <v>0.1049685592</v>
      </c>
      <c r="E17" s="82"/>
      <c r="F17" s="82"/>
      <c r="G17" s="82"/>
      <c r="I17" s="122" t="s">
        <v>176</v>
      </c>
      <c r="J17" s="126" t="s">
        <v>177</v>
      </c>
      <c r="L17" s="141" t="s">
        <v>176</v>
      </c>
      <c r="M17" s="138" t="s">
        <v>177</v>
      </c>
      <c r="O17" s="149" t="s">
        <v>176</v>
      </c>
      <c r="P17" s="150" t="s">
        <v>177</v>
      </c>
    </row>
    <row r="18">
      <c r="A18" s="118">
        <v>44621.0</v>
      </c>
      <c r="B18" s="119">
        <v>549.84</v>
      </c>
      <c r="C18" s="120">
        <f t="shared" si="1"/>
        <v>6.309627327</v>
      </c>
      <c r="D18" s="121">
        <f t="shared" si="2"/>
        <v>-0.07971690838</v>
      </c>
      <c r="E18" s="82"/>
      <c r="F18" s="82"/>
      <c r="G18" s="82"/>
      <c r="I18" s="151">
        <v>0.0</v>
      </c>
      <c r="J18" s="129">
        <f>I4</f>
        <v>925.08</v>
      </c>
      <c r="L18" s="151">
        <v>0.0</v>
      </c>
      <c r="M18" s="129">
        <f>I4</f>
        <v>925.08</v>
      </c>
      <c r="O18" s="132">
        <v>0.0</v>
      </c>
      <c r="P18" s="129">
        <f>I12</f>
        <v>925.08</v>
      </c>
    </row>
    <row r="19">
      <c r="A19" s="118">
        <v>44652.0</v>
      </c>
      <c r="B19" s="119">
        <v>507.71</v>
      </c>
      <c r="C19" s="120">
        <f t="shared" si="1"/>
        <v>6.229910418</v>
      </c>
      <c r="D19" s="121">
        <f t="shared" si="2"/>
        <v>-0.1298381336</v>
      </c>
      <c r="E19" s="82"/>
      <c r="F19" s="82"/>
      <c r="G19" s="82"/>
      <c r="I19" s="151">
        <f t="shared" ref="I19:I42" si="3">($L$4/$M$4)+I18</f>
        <v>0.08333333333</v>
      </c>
      <c r="J19" s="129">
        <f t="shared" ref="J19:J42" si="4">$I$4 * EXP($J$4 *I19  )</f>
        <v>939.4517866</v>
      </c>
      <c r="L19" s="151">
        <f t="shared" ref="L19:L42" si="5">($L$4/$M$4)+L18</f>
        <v>0.08333333333</v>
      </c>
      <c r="M19" s="129">
        <f t="shared" ref="M19:M42" si="6">$I$8 * EXP($J$8 *L19  )</f>
        <v>942.98171</v>
      </c>
      <c r="O19" s="132">
        <f t="shared" ref="O19:O42" si="7">($L$4/$M$4)+O18</f>
        <v>0.08333333333</v>
      </c>
      <c r="P19" s="129">
        <f t="shared" ref="P19:P42" si="8">$I$12 * EXP($J$12 *O19  )</f>
        <v>934.3772086</v>
      </c>
    </row>
    <row r="20">
      <c r="A20" s="118">
        <v>44682.0</v>
      </c>
      <c r="B20" s="119">
        <v>445.89</v>
      </c>
      <c r="C20" s="120">
        <f t="shared" si="1"/>
        <v>6.100072285</v>
      </c>
      <c r="D20" s="121">
        <f t="shared" si="2"/>
        <v>0.0276262496</v>
      </c>
      <c r="E20" s="82"/>
      <c r="F20" s="82"/>
      <c r="G20" s="82"/>
      <c r="I20" s="151">
        <f t="shared" si="3"/>
        <v>0.1666666667</v>
      </c>
      <c r="J20" s="129">
        <f t="shared" si="4"/>
        <v>954.0468494</v>
      </c>
      <c r="L20" s="151">
        <f t="shared" si="5"/>
        <v>0.1666666667</v>
      </c>
      <c r="M20" s="129">
        <f t="shared" si="6"/>
        <v>961.2298455</v>
      </c>
      <c r="O20" s="132">
        <f t="shared" si="7"/>
        <v>0.1666666667</v>
      </c>
      <c r="P20" s="129">
        <f t="shared" si="8"/>
        <v>943.7678556</v>
      </c>
    </row>
    <row r="21">
      <c r="A21" s="118">
        <v>44713.0</v>
      </c>
      <c r="B21" s="119">
        <v>458.38</v>
      </c>
      <c r="C21" s="120">
        <f t="shared" si="1"/>
        <v>6.127698534</v>
      </c>
      <c r="D21" s="121">
        <f t="shared" si="2"/>
        <v>0.1216973895</v>
      </c>
      <c r="E21" s="82"/>
      <c r="F21" s="82"/>
      <c r="G21" s="82"/>
      <c r="I21" s="151">
        <f t="shared" si="3"/>
        <v>0.25</v>
      </c>
      <c r="J21" s="129">
        <f t="shared" si="4"/>
        <v>968.868657</v>
      </c>
      <c r="L21" s="151">
        <f t="shared" si="5"/>
        <v>0.25</v>
      </c>
      <c r="M21" s="129">
        <f t="shared" si="6"/>
        <v>979.8311102</v>
      </c>
      <c r="O21" s="132">
        <f t="shared" si="7"/>
        <v>0.25</v>
      </c>
      <c r="P21" s="129">
        <f t="shared" si="8"/>
        <v>953.2528803</v>
      </c>
    </row>
    <row r="22">
      <c r="A22" s="118">
        <v>44743.0</v>
      </c>
      <c r="B22" s="119">
        <v>517.7</v>
      </c>
      <c r="C22" s="120">
        <f t="shared" si="1"/>
        <v>6.249395924</v>
      </c>
      <c r="D22" s="121">
        <f t="shared" si="2"/>
        <v>-0.03438790546</v>
      </c>
      <c r="E22" s="82"/>
      <c r="F22" s="82"/>
      <c r="G22" s="82"/>
      <c r="I22" s="151">
        <f t="shared" si="3"/>
        <v>0.3333333333</v>
      </c>
      <c r="J22" s="129">
        <f t="shared" si="4"/>
        <v>983.920732</v>
      </c>
      <c r="L22" s="151">
        <f t="shared" si="5"/>
        <v>0.3333333333</v>
      </c>
      <c r="M22" s="129">
        <f t="shared" si="6"/>
        <v>998.7923378</v>
      </c>
      <c r="O22" s="132">
        <f t="shared" si="7"/>
        <v>0.3333333333</v>
      </c>
      <c r="P22" s="129">
        <f t="shared" si="8"/>
        <v>962.833231</v>
      </c>
    </row>
    <row r="23">
      <c r="A23" s="118">
        <v>44774.0</v>
      </c>
      <c r="B23" s="119">
        <v>500.2</v>
      </c>
      <c r="C23" s="120">
        <f t="shared" si="1"/>
        <v>6.215008018</v>
      </c>
      <c r="D23" s="121">
        <f t="shared" si="2"/>
        <v>-0.100308657</v>
      </c>
      <c r="E23" s="82"/>
      <c r="F23" s="82"/>
      <c r="G23" s="82"/>
      <c r="I23" s="151">
        <f t="shared" si="3"/>
        <v>0.4166666667</v>
      </c>
      <c r="J23" s="129">
        <f t="shared" si="4"/>
        <v>999.206652</v>
      </c>
      <c r="L23" s="151">
        <f t="shared" si="5"/>
        <v>0.4166666667</v>
      </c>
      <c r="M23" s="129">
        <f t="shared" si="6"/>
        <v>1018.120494</v>
      </c>
      <c r="O23" s="132">
        <f t="shared" si="7"/>
        <v>0.4166666667</v>
      </c>
      <c r="P23" s="129">
        <f t="shared" si="8"/>
        <v>972.5098658</v>
      </c>
    </row>
    <row r="24">
      <c r="A24" s="118">
        <v>44805.0</v>
      </c>
      <c r="B24" s="119">
        <v>452.46</v>
      </c>
      <c r="C24" s="120">
        <f t="shared" si="1"/>
        <v>6.114699361</v>
      </c>
      <c r="D24" s="121">
        <f t="shared" si="2"/>
        <v>0.06004461688</v>
      </c>
      <c r="E24" s="82"/>
      <c r="F24" s="82"/>
      <c r="G24" s="82"/>
      <c r="I24" s="151">
        <f t="shared" si="3"/>
        <v>0.5</v>
      </c>
      <c r="J24" s="129">
        <f t="shared" si="4"/>
        <v>1014.73005</v>
      </c>
      <c r="L24" s="151">
        <f t="shared" si="5"/>
        <v>0.5</v>
      </c>
      <c r="M24" s="129">
        <f t="shared" si="6"/>
        <v>1037.82268</v>
      </c>
      <c r="O24" s="132">
        <f t="shared" si="7"/>
        <v>0.5</v>
      </c>
      <c r="P24" s="129">
        <f t="shared" si="8"/>
        <v>982.2837525</v>
      </c>
    </row>
    <row r="25">
      <c r="A25" s="118">
        <v>44835.0</v>
      </c>
      <c r="B25" s="119">
        <v>480.46</v>
      </c>
      <c r="C25" s="120">
        <f t="shared" si="1"/>
        <v>6.174743978</v>
      </c>
      <c r="D25" s="121">
        <f t="shared" si="2"/>
        <v>0.07438148212</v>
      </c>
      <c r="E25" s="82"/>
      <c r="F25" s="82"/>
      <c r="G25" s="82"/>
      <c r="I25" s="151">
        <f t="shared" si="3"/>
        <v>0.5833333333</v>
      </c>
      <c r="J25" s="129">
        <f t="shared" si="4"/>
        <v>1030.494615</v>
      </c>
      <c r="L25" s="151">
        <f t="shared" si="5"/>
        <v>0.5833333333</v>
      </c>
      <c r="M25" s="129">
        <f t="shared" si="6"/>
        <v>1057.906133</v>
      </c>
      <c r="O25" s="132">
        <f t="shared" si="7"/>
        <v>0.5833333333</v>
      </c>
      <c r="P25" s="129">
        <f t="shared" si="8"/>
        <v>992.1558683</v>
      </c>
    </row>
    <row r="26">
      <c r="A26" s="118">
        <v>44866.0</v>
      </c>
      <c r="B26" s="119">
        <v>517.56</v>
      </c>
      <c r="C26" s="120">
        <f t="shared" si="1"/>
        <v>6.24912546</v>
      </c>
      <c r="D26" s="121">
        <f t="shared" si="2"/>
        <v>-0.1665869664</v>
      </c>
      <c r="E26" s="82"/>
      <c r="F26" s="82"/>
      <c r="G26" s="82"/>
      <c r="I26" s="151">
        <f t="shared" si="3"/>
        <v>0.6666666667</v>
      </c>
      <c r="J26" s="129">
        <f t="shared" si="4"/>
        <v>1046.504094</v>
      </c>
      <c r="L26" s="151">
        <f t="shared" si="5"/>
        <v>0.6666666667</v>
      </c>
      <c r="M26" s="129">
        <f t="shared" si="6"/>
        <v>1078.378231</v>
      </c>
      <c r="O26" s="132">
        <f t="shared" si="7"/>
        <v>0.6666666667</v>
      </c>
      <c r="P26" s="129">
        <f t="shared" si="8"/>
        <v>1002.127201</v>
      </c>
    </row>
    <row r="27">
      <c r="A27" s="118">
        <v>44896.0</v>
      </c>
      <c r="B27" s="119">
        <v>438.14</v>
      </c>
      <c r="C27" s="120">
        <f t="shared" si="1"/>
        <v>6.082538494</v>
      </c>
      <c r="D27" s="121">
        <f t="shared" si="2"/>
        <v>0.1130498706</v>
      </c>
      <c r="E27" s="82"/>
      <c r="F27" s="82"/>
      <c r="G27" s="82"/>
      <c r="I27" s="151">
        <f t="shared" si="3"/>
        <v>0.75</v>
      </c>
      <c r="J27" s="129">
        <f t="shared" si="4"/>
        <v>1062.762291</v>
      </c>
      <c r="L27" s="151">
        <f t="shared" si="5"/>
        <v>0.75</v>
      </c>
      <c r="M27" s="129">
        <f t="shared" si="6"/>
        <v>1099.246496</v>
      </c>
      <c r="O27" s="132">
        <f t="shared" si="7"/>
        <v>0.75</v>
      </c>
      <c r="P27" s="129">
        <f t="shared" si="8"/>
        <v>1012.198746</v>
      </c>
    </row>
    <row r="28">
      <c r="A28" s="118">
        <v>44927.0</v>
      </c>
      <c r="B28" s="119">
        <v>490.58</v>
      </c>
      <c r="C28" s="120">
        <f t="shared" si="1"/>
        <v>6.195588365</v>
      </c>
      <c r="D28" s="121">
        <f t="shared" si="2"/>
        <v>-0.05419632849</v>
      </c>
      <c r="E28" s="82"/>
      <c r="F28" s="82"/>
      <c r="G28" s="82"/>
      <c r="I28" s="151">
        <f t="shared" si="3"/>
        <v>0.8333333333</v>
      </c>
      <c r="J28" s="129">
        <f t="shared" si="4"/>
        <v>1079.273072</v>
      </c>
      <c r="L28" s="151">
        <f t="shared" si="5"/>
        <v>0.8333333333</v>
      </c>
      <c r="M28" s="129">
        <f t="shared" si="6"/>
        <v>1120.518593</v>
      </c>
      <c r="O28" s="132">
        <f t="shared" si="7"/>
        <v>0.8333333333</v>
      </c>
      <c r="P28" s="129">
        <f t="shared" si="8"/>
        <v>1022.371513</v>
      </c>
    </row>
    <row r="29">
      <c r="A29" s="118">
        <v>44958.0</v>
      </c>
      <c r="B29" s="119">
        <v>464.7</v>
      </c>
      <c r="C29" s="120">
        <f t="shared" si="1"/>
        <v>6.141392036</v>
      </c>
      <c r="D29" s="121">
        <f t="shared" si="2"/>
        <v>0.02761181773</v>
      </c>
      <c r="E29" s="82"/>
      <c r="F29" s="82"/>
      <c r="G29" s="82"/>
      <c r="I29" s="151">
        <f t="shared" si="3"/>
        <v>0.9166666667</v>
      </c>
      <c r="J29" s="129">
        <f t="shared" si="4"/>
        <v>1096.040359</v>
      </c>
      <c r="L29" s="151">
        <f t="shared" si="5"/>
        <v>0.9166666667</v>
      </c>
      <c r="M29" s="129">
        <f t="shared" si="6"/>
        <v>1142.202338</v>
      </c>
      <c r="O29" s="132">
        <f t="shared" si="7"/>
        <v>0.9166666667</v>
      </c>
      <c r="P29" s="129">
        <f t="shared" si="8"/>
        <v>1032.646517</v>
      </c>
    </row>
    <row r="30">
      <c r="A30" s="118">
        <v>44986.0</v>
      </c>
      <c r="B30" s="119">
        <v>477.71</v>
      </c>
      <c r="C30" s="120">
        <f t="shared" si="1"/>
        <v>6.169003854</v>
      </c>
      <c r="D30" s="121">
        <f t="shared" si="2"/>
        <v>0.0127090829</v>
      </c>
      <c r="E30" s="82"/>
      <c r="F30" s="82"/>
      <c r="G30" s="82"/>
      <c r="I30" s="151">
        <f t="shared" si="3"/>
        <v>1</v>
      </c>
      <c r="J30" s="129">
        <f t="shared" si="4"/>
        <v>1113.068139</v>
      </c>
      <c r="L30" s="151">
        <f t="shared" si="5"/>
        <v>1</v>
      </c>
      <c r="M30" s="129">
        <f t="shared" si="6"/>
        <v>1164.305697</v>
      </c>
      <c r="O30" s="132">
        <f t="shared" si="7"/>
        <v>1</v>
      </c>
      <c r="P30" s="129">
        <f t="shared" si="8"/>
        <v>1043.024787</v>
      </c>
    </row>
    <row r="31">
      <c r="A31" s="118">
        <v>45017.0</v>
      </c>
      <c r="B31" s="119">
        <v>483.82</v>
      </c>
      <c r="C31" s="120">
        <f t="shared" si="1"/>
        <v>6.181712937</v>
      </c>
      <c r="D31" s="121">
        <f t="shared" si="2"/>
        <v>0.01644052363</v>
      </c>
      <c r="E31" s="82"/>
      <c r="F31" s="82"/>
      <c r="G31" s="82"/>
      <c r="I31" s="151">
        <f t="shared" si="3"/>
        <v>1.083333333</v>
      </c>
      <c r="J31" s="129">
        <f t="shared" si="4"/>
        <v>1130.360457</v>
      </c>
      <c r="L31" s="151">
        <f t="shared" si="5"/>
        <v>1.083333333</v>
      </c>
      <c r="M31" s="129">
        <f t="shared" si="6"/>
        <v>1186.83679</v>
      </c>
      <c r="O31" s="132">
        <f t="shared" si="7"/>
        <v>1.083333333</v>
      </c>
      <c r="P31" s="129">
        <f t="shared" si="8"/>
        <v>1053.507361</v>
      </c>
    </row>
    <row r="32">
      <c r="A32" s="118">
        <v>45047.0</v>
      </c>
      <c r="B32" s="119">
        <v>491.84</v>
      </c>
      <c r="C32" s="120">
        <f t="shared" si="1"/>
        <v>6.19815346</v>
      </c>
      <c r="D32" s="121">
        <f t="shared" si="2"/>
        <v>0.05317222101</v>
      </c>
      <c r="E32" s="82"/>
      <c r="F32" s="82"/>
      <c r="G32" s="82"/>
      <c r="I32" s="151">
        <f t="shared" si="3"/>
        <v>1.166666667</v>
      </c>
      <c r="J32" s="129">
        <f t="shared" si="4"/>
        <v>1147.921424</v>
      </c>
      <c r="L32" s="151">
        <f t="shared" si="5"/>
        <v>1.166666667</v>
      </c>
      <c r="M32" s="129">
        <f t="shared" si="6"/>
        <v>1209.803893</v>
      </c>
      <c r="O32" s="132">
        <f t="shared" si="7"/>
        <v>1.166666667</v>
      </c>
      <c r="P32" s="129">
        <f t="shared" si="8"/>
        <v>1064.095286</v>
      </c>
    </row>
    <row r="33">
      <c r="A33" s="118">
        <v>45078.0</v>
      </c>
      <c r="B33" s="119">
        <v>518.7</v>
      </c>
      <c r="C33" s="120">
        <f t="shared" si="1"/>
        <v>6.251325681</v>
      </c>
      <c r="D33" s="121">
        <f t="shared" si="2"/>
        <v>0.04057673599</v>
      </c>
      <c r="E33" s="82"/>
      <c r="F33" s="82"/>
      <c r="G33" s="82"/>
      <c r="I33" s="151">
        <f t="shared" si="3"/>
        <v>1.25</v>
      </c>
      <c r="J33" s="129">
        <f t="shared" si="4"/>
        <v>1165.755213</v>
      </c>
      <c r="L33" s="151">
        <f t="shared" si="5"/>
        <v>1.25</v>
      </c>
      <c r="M33" s="129">
        <f t="shared" si="6"/>
        <v>1233.215445</v>
      </c>
      <c r="O33" s="132">
        <f t="shared" si="7"/>
        <v>1.25</v>
      </c>
      <c r="P33" s="129">
        <f t="shared" si="8"/>
        <v>1074.789621</v>
      </c>
    </row>
    <row r="34">
      <c r="A34" s="118">
        <v>45108.0</v>
      </c>
      <c r="B34" s="119">
        <v>540.18</v>
      </c>
      <c r="C34" s="120">
        <f t="shared" si="1"/>
        <v>6.291902417</v>
      </c>
      <c r="D34" s="121">
        <f t="shared" si="2"/>
        <v>-0.02053598511</v>
      </c>
      <c r="E34" s="82"/>
      <c r="F34" s="82"/>
      <c r="G34" s="82"/>
      <c r="I34" s="151">
        <f t="shared" si="3"/>
        <v>1.333333333</v>
      </c>
      <c r="J34" s="129">
        <f t="shared" si="4"/>
        <v>1183.866063</v>
      </c>
      <c r="L34" s="151">
        <f t="shared" si="5"/>
        <v>1.333333333</v>
      </c>
      <c r="M34" s="129">
        <f t="shared" si="6"/>
        <v>1257.080046</v>
      </c>
      <c r="O34" s="132">
        <f t="shared" si="7"/>
        <v>1.333333333</v>
      </c>
      <c r="P34" s="129">
        <f t="shared" si="8"/>
        <v>1085.591437</v>
      </c>
    </row>
    <row r="35">
      <c r="A35" s="118">
        <v>45139.0</v>
      </c>
      <c r="B35" s="119">
        <v>529.2</v>
      </c>
      <c r="C35" s="120">
        <f t="shared" si="1"/>
        <v>6.271366432</v>
      </c>
      <c r="D35" s="121">
        <f t="shared" si="2"/>
        <v>0.03004302112</v>
      </c>
      <c r="E35" s="82"/>
      <c r="F35" s="82"/>
      <c r="G35" s="82"/>
      <c r="I35" s="151">
        <f t="shared" si="3"/>
        <v>1.416666667</v>
      </c>
      <c r="J35" s="129">
        <f t="shared" si="4"/>
        <v>1202.258279</v>
      </c>
      <c r="L35" s="151">
        <f t="shared" si="5"/>
        <v>1.416666667</v>
      </c>
      <c r="M35" s="129">
        <f t="shared" si="6"/>
        <v>1281.406464</v>
      </c>
      <c r="O35" s="132">
        <f t="shared" si="7"/>
        <v>1.416666667</v>
      </c>
      <c r="P35" s="129">
        <f t="shared" si="8"/>
        <v>1096.501812</v>
      </c>
    </row>
    <row r="36">
      <c r="A36" s="118">
        <v>45170.0</v>
      </c>
      <c r="B36" s="119">
        <v>545.34</v>
      </c>
      <c r="C36" s="120">
        <f t="shared" si="1"/>
        <v>6.301409453</v>
      </c>
      <c r="D36" s="121">
        <f t="shared" si="2"/>
        <v>-0.02241909601</v>
      </c>
      <c r="E36" s="82"/>
      <c r="F36" s="82"/>
      <c r="G36" s="82"/>
      <c r="I36" s="151">
        <f t="shared" si="3"/>
        <v>1.5</v>
      </c>
      <c r="J36" s="129">
        <f t="shared" si="4"/>
        <v>1220.93623</v>
      </c>
      <c r="L36" s="151">
        <f t="shared" si="5"/>
        <v>1.5</v>
      </c>
      <c r="M36" s="129">
        <f t="shared" si="6"/>
        <v>1306.203635</v>
      </c>
      <c r="O36" s="132">
        <f t="shared" si="7"/>
        <v>1.5</v>
      </c>
      <c r="P36" s="129">
        <f t="shared" si="8"/>
        <v>1107.521838</v>
      </c>
    </row>
    <row r="37">
      <c r="A37" s="118">
        <v>45200.0</v>
      </c>
      <c r="B37" s="119">
        <v>533.25</v>
      </c>
      <c r="C37" s="120">
        <f t="shared" si="1"/>
        <v>6.278990357</v>
      </c>
      <c r="D37" s="121">
        <f t="shared" si="2"/>
        <v>0.07041083741</v>
      </c>
      <c r="E37" s="82"/>
      <c r="F37" s="82"/>
      <c r="G37" s="82"/>
      <c r="I37" s="151">
        <f t="shared" si="3"/>
        <v>1.583333333</v>
      </c>
      <c r="J37" s="129">
        <f t="shared" si="4"/>
        <v>1239.904357</v>
      </c>
      <c r="L37" s="151">
        <f t="shared" si="5"/>
        <v>1.583333333</v>
      </c>
      <c r="M37" s="129">
        <f t="shared" si="6"/>
        <v>1331.480669</v>
      </c>
      <c r="O37" s="132">
        <f t="shared" si="7"/>
        <v>1.583333333</v>
      </c>
      <c r="P37" s="129">
        <f t="shared" si="8"/>
        <v>1118.652618</v>
      </c>
    </row>
    <row r="38">
      <c r="A38" s="118">
        <v>45231.0</v>
      </c>
      <c r="B38" s="119">
        <v>572.15</v>
      </c>
      <c r="C38" s="120">
        <f t="shared" si="1"/>
        <v>6.349401195</v>
      </c>
      <c r="D38" s="121">
        <f t="shared" si="2"/>
        <v>0.1094541962</v>
      </c>
      <c r="E38" s="82"/>
      <c r="F38" s="82"/>
      <c r="G38" s="82"/>
      <c r="I38" s="151">
        <f t="shared" si="3"/>
        <v>1.666666667</v>
      </c>
      <c r="J38" s="129">
        <f t="shared" si="4"/>
        <v>1259.167168</v>
      </c>
      <c r="L38" s="151">
        <f t="shared" si="5"/>
        <v>1.666666667</v>
      </c>
      <c r="M38" s="129">
        <f t="shared" si="6"/>
        <v>1357.246852</v>
      </c>
      <c r="O38" s="132">
        <f t="shared" si="7"/>
        <v>1.666666667</v>
      </c>
      <c r="P38" s="129">
        <f t="shared" si="8"/>
        <v>1129.895264</v>
      </c>
    </row>
    <row r="39">
      <c r="A39" s="118">
        <v>45261.0</v>
      </c>
      <c r="B39" s="119">
        <v>638.33</v>
      </c>
      <c r="C39" s="120">
        <f t="shared" si="1"/>
        <v>6.458855391</v>
      </c>
      <c r="D39" s="121">
        <f t="shared" si="2"/>
        <v>0.07385728668</v>
      </c>
      <c r="E39" s="82"/>
      <c r="F39" s="82"/>
      <c r="G39" s="82"/>
      <c r="I39" s="151">
        <f t="shared" si="3"/>
        <v>1.75</v>
      </c>
      <c r="J39" s="129">
        <f t="shared" si="4"/>
        <v>1278.72924</v>
      </c>
      <c r="L39" s="151">
        <f t="shared" si="5"/>
        <v>1.75</v>
      </c>
      <c r="M39" s="129">
        <f t="shared" si="6"/>
        <v>1383.511651</v>
      </c>
      <c r="O39" s="132">
        <f t="shared" si="7"/>
        <v>1.75</v>
      </c>
      <c r="P39" s="129">
        <f t="shared" si="8"/>
        <v>1141.2509</v>
      </c>
    </row>
    <row r="40">
      <c r="A40" s="118">
        <v>45292.0</v>
      </c>
      <c r="B40" s="119">
        <v>687.26</v>
      </c>
      <c r="C40" s="120">
        <f t="shared" si="1"/>
        <v>6.532712678</v>
      </c>
      <c r="D40" s="121">
        <f t="shared" si="2"/>
        <v>0.06815052591</v>
      </c>
      <c r="E40" s="82"/>
      <c r="F40" s="82"/>
      <c r="G40" s="82"/>
      <c r="I40" s="151">
        <f t="shared" si="3"/>
        <v>1.833333333</v>
      </c>
      <c r="J40" s="129">
        <f t="shared" si="4"/>
        <v>1298.595224</v>
      </c>
      <c r="L40" s="151">
        <f t="shared" si="5"/>
        <v>1.833333333</v>
      </c>
      <c r="M40" s="129">
        <f t="shared" si="6"/>
        <v>1410.284713</v>
      </c>
      <c r="O40" s="132">
        <f t="shared" si="7"/>
        <v>1.833333333</v>
      </c>
      <c r="P40" s="129">
        <f t="shared" si="8"/>
        <v>1152.720662</v>
      </c>
    </row>
    <row r="41">
      <c r="A41" s="118">
        <v>45323.0</v>
      </c>
      <c r="B41" s="119">
        <v>735.73</v>
      </c>
      <c r="C41" s="120">
        <f t="shared" si="1"/>
        <v>6.600863204</v>
      </c>
      <c r="D41" s="121">
        <f t="shared" si="2"/>
        <v>-0.01378161803</v>
      </c>
      <c r="E41" s="82"/>
      <c r="F41" s="82"/>
      <c r="G41" s="82"/>
      <c r="I41" s="151">
        <f t="shared" si="3"/>
        <v>1.916666667</v>
      </c>
      <c r="J41" s="129">
        <f t="shared" si="4"/>
        <v>1318.769839</v>
      </c>
      <c r="L41" s="151">
        <f t="shared" si="5"/>
        <v>1.916666667</v>
      </c>
      <c r="M41" s="129">
        <f t="shared" si="6"/>
        <v>1437.575875</v>
      </c>
      <c r="O41" s="132">
        <f t="shared" si="7"/>
        <v>1.916666667</v>
      </c>
      <c r="P41" s="129">
        <f t="shared" si="8"/>
        <v>1164.305697</v>
      </c>
    </row>
    <row r="42">
      <c r="A42" s="118">
        <v>45352.0</v>
      </c>
      <c r="B42" s="119">
        <v>725.66</v>
      </c>
      <c r="C42" s="120">
        <f t="shared" si="1"/>
        <v>6.587081586</v>
      </c>
      <c r="D42" s="121">
        <f t="shared" si="2"/>
        <v>-0.01337348604</v>
      </c>
      <c r="E42" s="82"/>
      <c r="F42" s="82"/>
      <c r="G42" s="82"/>
      <c r="I42" s="151">
        <f t="shared" si="3"/>
        <v>2</v>
      </c>
      <c r="J42" s="129">
        <f t="shared" si="4"/>
        <v>1339.257882</v>
      </c>
      <c r="L42" s="151">
        <f t="shared" si="5"/>
        <v>2</v>
      </c>
      <c r="M42" s="152">
        <f t="shared" si="6"/>
        <v>1465.395162</v>
      </c>
      <c r="O42" s="132">
        <f t="shared" si="7"/>
        <v>2</v>
      </c>
      <c r="P42" s="129">
        <f t="shared" si="8"/>
        <v>1176.007164</v>
      </c>
    </row>
    <row r="43">
      <c r="A43" s="118">
        <v>45383.0</v>
      </c>
      <c r="B43" s="119">
        <v>716.02</v>
      </c>
      <c r="C43" s="120">
        <f t="shared" si="1"/>
        <v>6.5737081</v>
      </c>
      <c r="D43" s="121">
        <f t="shared" si="2"/>
        <v>0.1152317483</v>
      </c>
      <c r="E43" s="82"/>
      <c r="F43" s="82"/>
      <c r="G43" s="82"/>
      <c r="M43" s="153"/>
    </row>
    <row r="44">
      <c r="A44" s="118">
        <v>45413.0</v>
      </c>
      <c r="B44" s="119">
        <v>803.47</v>
      </c>
      <c r="C44" s="120">
        <f t="shared" si="1"/>
        <v>6.688939848</v>
      </c>
      <c r="D44" s="121">
        <f t="shared" si="2"/>
        <v>0.04833548492</v>
      </c>
      <c r="E44" s="82"/>
      <c r="F44" s="82"/>
      <c r="G44" s="82"/>
    </row>
    <row r="45">
      <c r="A45" s="118">
        <v>45444.0</v>
      </c>
      <c r="B45" s="119">
        <v>843.26</v>
      </c>
      <c r="C45" s="120">
        <f t="shared" si="1"/>
        <v>6.737275333</v>
      </c>
      <c r="D45" s="121">
        <f t="shared" si="2"/>
        <v>-0.03348617318</v>
      </c>
      <c r="E45" s="82"/>
      <c r="F45" s="82"/>
      <c r="G45" s="82"/>
    </row>
    <row r="46">
      <c r="A46" s="118">
        <v>45474.0</v>
      </c>
      <c r="B46" s="119">
        <v>815.49</v>
      </c>
      <c r="C46" s="120">
        <f t="shared" si="1"/>
        <v>6.70378916</v>
      </c>
      <c r="D46" s="121">
        <f t="shared" si="2"/>
        <v>0.08357092504</v>
      </c>
      <c r="E46" s="82"/>
      <c r="F46" s="82"/>
      <c r="G46" s="82"/>
    </row>
    <row r="47">
      <c r="A47" s="118">
        <v>45505.0</v>
      </c>
      <c r="B47" s="119">
        <v>886.57</v>
      </c>
      <c r="C47" s="120">
        <f t="shared" si="1"/>
        <v>6.787360085</v>
      </c>
      <c r="D47" s="121">
        <f t="shared" si="2"/>
        <v>-0.006586267387</v>
      </c>
      <c r="E47" s="82"/>
      <c r="F47" s="82"/>
      <c r="G47" s="82"/>
    </row>
    <row r="48">
      <c r="A48" s="118">
        <v>45536.0</v>
      </c>
      <c r="B48" s="119">
        <v>880.75</v>
      </c>
      <c r="C48" s="120">
        <f t="shared" si="1"/>
        <v>6.780773817</v>
      </c>
      <c r="D48" s="121">
        <f t="shared" si="2"/>
        <v>-0.01401774571</v>
      </c>
      <c r="E48" s="82"/>
      <c r="F48" s="82"/>
      <c r="G48" s="82"/>
    </row>
    <row r="49">
      <c r="A49" s="118">
        <v>45566.0</v>
      </c>
      <c r="B49" s="119">
        <v>868.49</v>
      </c>
      <c r="C49" s="120">
        <f t="shared" si="1"/>
        <v>6.766756072</v>
      </c>
      <c r="D49" s="121">
        <f t="shared" si="2"/>
        <v>0.1059418157</v>
      </c>
      <c r="E49" s="82"/>
      <c r="F49" s="82"/>
      <c r="G49" s="82"/>
    </row>
    <row r="50">
      <c r="A50" s="118">
        <v>45597.0</v>
      </c>
      <c r="B50" s="119">
        <v>965.55</v>
      </c>
      <c r="C50" s="120">
        <f t="shared" si="1"/>
        <v>6.872697887</v>
      </c>
      <c r="D50" s="121">
        <f t="shared" si="2"/>
        <v>-0.05759532218</v>
      </c>
      <c r="E50" s="82"/>
      <c r="F50" s="82"/>
      <c r="G50" s="82"/>
    </row>
    <row r="51">
      <c r="A51" s="118">
        <v>45627.0</v>
      </c>
      <c r="B51" s="119">
        <v>911.51</v>
      </c>
      <c r="C51" s="120">
        <f t="shared" si="1"/>
        <v>6.815102565</v>
      </c>
      <c r="D51" s="121">
        <f t="shared" si="2"/>
        <v>0.0671194982</v>
      </c>
      <c r="E51" s="82"/>
      <c r="F51" s="82"/>
      <c r="G51" s="82"/>
    </row>
    <row r="52">
      <c r="A52" s="118">
        <v>45658.0</v>
      </c>
      <c r="B52" s="119">
        <v>974.79</v>
      </c>
      <c r="C52" s="120">
        <f t="shared" si="1"/>
        <v>6.882222063</v>
      </c>
      <c r="D52" s="121">
        <f t="shared" si="2"/>
        <v>0.06779736991</v>
      </c>
      <c r="E52" s="82"/>
      <c r="F52" s="82"/>
      <c r="G52" s="82"/>
    </row>
    <row r="53">
      <c r="A53" s="118">
        <v>45689.0</v>
      </c>
      <c r="B53" s="119">
        <v>1043.17</v>
      </c>
      <c r="C53" s="120">
        <f t="shared" si="1"/>
        <v>6.950019433</v>
      </c>
      <c r="D53" s="121">
        <f t="shared" si="2"/>
        <v>-0.1021097045</v>
      </c>
      <c r="E53" s="82"/>
      <c r="F53" s="82"/>
      <c r="G53" s="82"/>
    </row>
    <row r="54">
      <c r="A54" s="118">
        <v>45717.0</v>
      </c>
      <c r="B54" s="119">
        <v>941.91</v>
      </c>
      <c r="C54" s="120">
        <f t="shared" si="1"/>
        <v>6.847909729</v>
      </c>
      <c r="D54" s="121">
        <f t="shared" si="2"/>
        <v>0.05022946365</v>
      </c>
      <c r="E54" s="82"/>
      <c r="F54" s="82"/>
      <c r="G54" s="82"/>
    </row>
    <row r="55">
      <c r="A55" s="118">
        <v>45748.0</v>
      </c>
      <c r="B55" s="119">
        <v>990.43</v>
      </c>
      <c r="C55" s="120">
        <f t="shared" si="1"/>
        <v>6.898139192</v>
      </c>
      <c r="D55" s="121">
        <f t="shared" si="2"/>
        <v>0.0449060075</v>
      </c>
      <c r="E55" s="82"/>
      <c r="F55" s="82"/>
      <c r="G55" s="82"/>
    </row>
    <row r="56">
      <c r="A56" s="118">
        <v>45778.0</v>
      </c>
      <c r="B56" s="119">
        <v>1035.92</v>
      </c>
      <c r="C56" s="120">
        <f t="shared" si="1"/>
        <v>6.9430452</v>
      </c>
      <c r="D56" s="121">
        <f t="shared" si="2"/>
        <v>-0.04820293605</v>
      </c>
      <c r="E56" s="82"/>
      <c r="F56" s="82"/>
      <c r="G56" s="82"/>
    </row>
    <row r="57">
      <c r="A57" s="118">
        <v>45809.0</v>
      </c>
      <c r="B57" s="119">
        <v>987.17</v>
      </c>
      <c r="C57" s="120">
        <f t="shared" si="1"/>
        <v>6.894842264</v>
      </c>
      <c r="D57" s="121">
        <f t="shared" si="2"/>
        <v>-0.05214830917</v>
      </c>
      <c r="E57" s="82"/>
      <c r="F57" s="82"/>
      <c r="G57" s="82"/>
    </row>
    <row r="58">
      <c r="A58" s="118">
        <v>45839.0</v>
      </c>
      <c r="B58" s="119">
        <v>937.01</v>
      </c>
      <c r="C58" s="120">
        <f t="shared" si="1"/>
        <v>6.842693955</v>
      </c>
      <c r="D58" s="121">
        <f t="shared" si="2"/>
        <v>0.003909063449</v>
      </c>
      <c r="E58" s="82"/>
      <c r="F58" s="82"/>
      <c r="G58" s="82"/>
    </row>
    <row r="59">
      <c r="A59" s="118">
        <v>45870.0</v>
      </c>
      <c r="B59" s="119">
        <v>940.68</v>
      </c>
      <c r="C59" s="120">
        <f t="shared" si="1"/>
        <v>6.846603018</v>
      </c>
      <c r="D59" s="121">
        <f t="shared" si="2"/>
        <v>-0.01754468596</v>
      </c>
      <c r="E59" s="82"/>
      <c r="F59" s="82"/>
      <c r="G59" s="82"/>
    </row>
    <row r="60">
      <c r="A60" s="118">
        <v>45901.0</v>
      </c>
      <c r="B60" s="119">
        <v>924.32</v>
      </c>
      <c r="C60" s="120">
        <f t="shared" si="1"/>
        <v>6.829058332</v>
      </c>
      <c r="D60" s="121">
        <f t="shared" si="2"/>
        <v>-0.0154379238</v>
      </c>
      <c r="E60" s="82"/>
      <c r="F60" s="82"/>
      <c r="G60" s="82"/>
    </row>
    <row r="61">
      <c r="A61" s="118">
        <v>45931.0</v>
      </c>
      <c r="B61" s="119">
        <v>910.16</v>
      </c>
      <c r="C61" s="120">
        <f t="shared" si="1"/>
        <v>6.813620408</v>
      </c>
      <c r="D61" s="121">
        <f t="shared" si="2"/>
        <v>0.004210163223</v>
      </c>
      <c r="E61" s="82"/>
      <c r="F61" s="82"/>
      <c r="G61" s="82"/>
    </row>
    <row r="62">
      <c r="A62" s="118">
        <v>45962.0</v>
      </c>
      <c r="B62" s="119">
        <v>914.0</v>
      </c>
      <c r="C62" s="120">
        <f t="shared" si="1"/>
        <v>6.817830571</v>
      </c>
      <c r="D62" s="121">
        <f t="shared" si="2"/>
        <v>0.01204964881</v>
      </c>
      <c r="E62" s="82"/>
      <c r="F62" s="82"/>
      <c r="G62" s="82"/>
    </row>
    <row r="63">
      <c r="A63" s="118">
        <v>45974.0</v>
      </c>
      <c r="B63" s="119">
        <v>925.08</v>
      </c>
      <c r="C63" s="120">
        <f t="shared" si="1"/>
        <v>6.82988022</v>
      </c>
      <c r="D63" s="134" t="str">
        <f t="shared" si="2"/>
        <v/>
      </c>
      <c r="E63" s="82"/>
      <c r="F63" s="82"/>
      <c r="G63" s="82"/>
    </row>
    <row r="64">
      <c r="A64" s="154"/>
      <c r="B64" s="133"/>
      <c r="C64" s="155" t="str">
        <f t="shared" si="1"/>
        <v/>
      </c>
      <c r="D64" s="134" t="str">
        <f t="shared" si="2"/>
        <v/>
      </c>
      <c r="E64" s="82"/>
      <c r="F64" s="82"/>
      <c r="G64" s="82"/>
    </row>
    <row r="65">
      <c r="A65" s="154"/>
      <c r="B65" s="133"/>
      <c r="C65" s="155" t="str">
        <f t="shared" si="1"/>
        <v/>
      </c>
      <c r="D65" s="134" t="str">
        <f t="shared" si="2"/>
        <v/>
      </c>
      <c r="E65" s="82"/>
      <c r="F65" s="82"/>
      <c r="G65" s="82"/>
    </row>
    <row r="66">
      <c r="A66" s="154"/>
      <c r="B66" s="133"/>
      <c r="C66" s="155"/>
      <c r="D66" s="134"/>
      <c r="E66" s="82"/>
      <c r="F66" s="82"/>
      <c r="G66" s="82"/>
    </row>
    <row r="67">
      <c r="A67" s="154"/>
      <c r="B67" s="133"/>
      <c r="C67" s="155"/>
      <c r="D67" s="134"/>
      <c r="E67" s="82"/>
      <c r="F67" s="82"/>
      <c r="G67" s="82"/>
    </row>
    <row r="68">
      <c r="A68" s="154"/>
      <c r="B68" s="133"/>
      <c r="C68" s="155"/>
      <c r="D68" s="134"/>
      <c r="E68" s="82"/>
      <c r="F68" s="82"/>
      <c r="G68" s="82"/>
    </row>
    <row r="69">
      <c r="A69" s="154"/>
      <c r="B69" s="133"/>
      <c r="C69" s="155"/>
      <c r="D69" s="134"/>
      <c r="E69" s="82"/>
      <c r="F69" s="82"/>
      <c r="G69" s="82"/>
    </row>
    <row r="70">
      <c r="A70" s="154"/>
      <c r="B70" s="133"/>
      <c r="C70" s="155"/>
      <c r="D70" s="134"/>
      <c r="E70" s="82"/>
      <c r="F70" s="82"/>
      <c r="G70" s="82"/>
    </row>
    <row r="71">
      <c r="A71" s="154"/>
      <c r="B71" s="133"/>
      <c r="C71" s="155"/>
      <c r="D71" s="134"/>
      <c r="E71" s="82"/>
      <c r="F71" s="82"/>
      <c r="G71" s="82"/>
    </row>
    <row r="72">
      <c r="A72" s="154"/>
      <c r="B72" s="133"/>
      <c r="C72" s="155"/>
      <c r="D72" s="134"/>
      <c r="E72" s="82"/>
      <c r="F72" s="82"/>
      <c r="G72" s="82"/>
    </row>
    <row r="73">
      <c r="A73" s="154"/>
      <c r="B73" s="133"/>
      <c r="C73" s="155"/>
      <c r="D73" s="134"/>
      <c r="E73" s="82"/>
      <c r="F73" s="82"/>
      <c r="G73" s="82"/>
    </row>
    <row r="74">
      <c r="A74" s="154"/>
      <c r="B74" s="133"/>
      <c r="C74" s="155"/>
      <c r="D74" s="134"/>
      <c r="E74" s="82"/>
      <c r="F74" s="82"/>
      <c r="G74" s="82"/>
    </row>
    <row r="75">
      <c r="A75" s="154"/>
      <c r="B75" s="133"/>
      <c r="C75" s="155"/>
      <c r="D75" s="134"/>
      <c r="E75" s="82"/>
      <c r="F75" s="82"/>
      <c r="G75" s="82"/>
    </row>
    <row r="76">
      <c r="A76" s="154"/>
      <c r="B76" s="133"/>
      <c r="C76" s="155"/>
      <c r="D76" s="134"/>
      <c r="E76" s="82"/>
      <c r="F76" s="82"/>
      <c r="G76" s="82"/>
    </row>
    <row r="77">
      <c r="A77" s="154"/>
      <c r="B77" s="133"/>
      <c r="C77" s="155"/>
      <c r="D77" s="134"/>
      <c r="E77" s="82"/>
      <c r="F77" s="82"/>
      <c r="G77" s="82"/>
    </row>
    <row r="78">
      <c r="A78" s="154"/>
      <c r="B78" s="133"/>
      <c r="C78" s="155"/>
      <c r="D78" s="134"/>
      <c r="E78" s="82"/>
      <c r="F78" s="82"/>
      <c r="G78" s="82"/>
    </row>
    <row r="79">
      <c r="A79" s="154"/>
      <c r="B79" s="133"/>
      <c r="C79" s="155"/>
      <c r="D79" s="134"/>
      <c r="E79" s="82"/>
      <c r="F79" s="82"/>
      <c r="G79" s="82"/>
    </row>
    <row r="80">
      <c r="A80" s="154"/>
      <c r="B80" s="133"/>
      <c r="C80" s="155"/>
      <c r="D80" s="134"/>
      <c r="E80" s="82"/>
      <c r="F80" s="82"/>
      <c r="G80" s="82"/>
    </row>
    <row r="81">
      <c r="A81" s="154"/>
      <c r="B81" s="133"/>
      <c r="C81" s="155"/>
      <c r="D81" s="134"/>
      <c r="E81" s="82"/>
      <c r="F81" s="82"/>
      <c r="G81" s="82"/>
    </row>
    <row r="82">
      <c r="A82" s="154"/>
      <c r="B82" s="133"/>
      <c r="C82" s="155"/>
      <c r="D82" s="134"/>
      <c r="E82" s="82"/>
      <c r="F82" s="82"/>
      <c r="G82" s="82"/>
    </row>
    <row r="83">
      <c r="A83" s="154"/>
      <c r="B83" s="133"/>
      <c r="C83" s="155"/>
      <c r="D83" s="134"/>
      <c r="E83" s="82"/>
      <c r="F83" s="82"/>
      <c r="G83" s="82"/>
    </row>
    <row r="84">
      <c r="A84" s="154"/>
      <c r="B84" s="133"/>
      <c r="C84" s="155"/>
      <c r="D84" s="134"/>
      <c r="E84" s="82"/>
      <c r="F84" s="82"/>
      <c r="G84" s="82"/>
    </row>
    <row r="85">
      <c r="A85" s="154"/>
      <c r="B85" s="133"/>
      <c r="C85" s="155"/>
      <c r="D85" s="134"/>
      <c r="E85" s="82"/>
      <c r="F85" s="82"/>
      <c r="G85" s="82"/>
    </row>
    <row r="86">
      <c r="A86" s="154"/>
      <c r="B86" s="133"/>
      <c r="C86" s="155"/>
      <c r="D86" s="134"/>
      <c r="E86" s="82"/>
      <c r="F86" s="82"/>
      <c r="G86" s="82"/>
    </row>
    <row r="87">
      <c r="A87" s="154"/>
      <c r="B87" s="133"/>
      <c r="C87" s="155"/>
      <c r="D87" s="134"/>
      <c r="E87" s="82"/>
      <c r="F87" s="82"/>
      <c r="G87" s="82"/>
    </row>
    <row r="88">
      <c r="A88" s="154"/>
      <c r="B88" s="133"/>
      <c r="C88" s="155"/>
      <c r="D88" s="134"/>
      <c r="E88" s="82"/>
      <c r="F88" s="82"/>
      <c r="G88" s="82"/>
    </row>
    <row r="89">
      <c r="A89" s="154"/>
      <c r="B89" s="133"/>
      <c r="C89" s="155"/>
      <c r="D89" s="134"/>
      <c r="E89" s="82"/>
      <c r="F89" s="82"/>
      <c r="G89" s="82"/>
    </row>
    <row r="90">
      <c r="A90" s="154"/>
      <c r="B90" s="133"/>
      <c r="C90" s="155"/>
      <c r="D90" s="134"/>
      <c r="E90" s="82"/>
      <c r="F90" s="82"/>
      <c r="G90" s="82"/>
    </row>
    <row r="91">
      <c r="A91" s="154"/>
      <c r="B91" s="133"/>
      <c r="C91" s="155"/>
      <c r="D91" s="134"/>
      <c r="E91" s="82"/>
      <c r="F91" s="82"/>
      <c r="G91" s="82"/>
    </row>
    <row r="92">
      <c r="A92" s="154"/>
      <c r="B92" s="133"/>
      <c r="C92" s="155"/>
      <c r="D92" s="134"/>
      <c r="E92" s="82"/>
      <c r="F92" s="82"/>
      <c r="G92" s="82"/>
    </row>
    <row r="93">
      <c r="A93" s="154"/>
      <c r="B93" s="133"/>
      <c r="C93" s="155"/>
      <c r="D93" s="134"/>
      <c r="E93" s="82"/>
      <c r="F93" s="82"/>
      <c r="G93" s="82"/>
    </row>
    <row r="94">
      <c r="A94" s="154"/>
      <c r="B94" s="133"/>
      <c r="C94" s="155"/>
      <c r="D94" s="134"/>
      <c r="E94" s="82"/>
      <c r="F94" s="82"/>
      <c r="G94" s="82"/>
    </row>
    <row r="95">
      <c r="A95" s="154"/>
      <c r="B95" s="133"/>
      <c r="C95" s="155"/>
      <c r="D95" s="134"/>
      <c r="E95" s="82"/>
      <c r="F95" s="82"/>
      <c r="G95" s="82"/>
    </row>
    <row r="96">
      <c r="A96" s="154"/>
      <c r="B96" s="133"/>
      <c r="C96" s="155"/>
      <c r="D96" s="134"/>
      <c r="E96" s="82"/>
      <c r="F96" s="82"/>
      <c r="G96" s="82"/>
    </row>
    <row r="97">
      <c r="A97" s="154"/>
      <c r="B97" s="133"/>
      <c r="C97" s="155"/>
      <c r="D97" s="134"/>
      <c r="E97" s="82"/>
      <c r="F97" s="82"/>
      <c r="G97" s="82"/>
    </row>
    <row r="98">
      <c r="A98" s="154"/>
      <c r="B98" s="133"/>
      <c r="C98" s="155"/>
      <c r="D98" s="134"/>
      <c r="E98" s="82"/>
      <c r="F98" s="82"/>
      <c r="G98" s="82"/>
    </row>
    <row r="99">
      <c r="A99" s="154"/>
      <c r="B99" s="133"/>
      <c r="C99" s="155"/>
      <c r="D99" s="134"/>
      <c r="E99" s="82"/>
      <c r="F99" s="82"/>
      <c r="G99" s="82"/>
    </row>
    <row r="100">
      <c r="A100" s="154"/>
      <c r="B100" s="133"/>
      <c r="C100" s="155"/>
      <c r="D100" s="134"/>
      <c r="E100" s="82"/>
      <c r="F100" s="82"/>
      <c r="G100" s="82"/>
    </row>
    <row r="101">
      <c r="A101" s="154"/>
      <c r="B101" s="133"/>
      <c r="C101" s="155"/>
      <c r="D101" s="134"/>
      <c r="E101" s="82"/>
      <c r="F101" s="82"/>
      <c r="G101" s="82"/>
    </row>
    <row r="102">
      <c r="A102" s="154"/>
      <c r="B102" s="133"/>
      <c r="C102" s="155"/>
      <c r="D102" s="134"/>
      <c r="E102" s="82"/>
      <c r="F102" s="82"/>
      <c r="G102" s="82"/>
    </row>
    <row r="103">
      <c r="A103" s="154"/>
      <c r="B103" s="133"/>
      <c r="C103" s="155"/>
      <c r="D103" s="134"/>
      <c r="E103" s="82"/>
      <c r="F103" s="82"/>
      <c r="G103" s="82"/>
    </row>
    <row r="104">
      <c r="A104" s="154"/>
      <c r="B104" s="133"/>
      <c r="C104" s="155"/>
      <c r="D104" s="134"/>
      <c r="E104" s="82"/>
      <c r="F104" s="82"/>
      <c r="G104" s="82"/>
    </row>
    <row r="105">
      <c r="A105" s="154"/>
      <c r="B105" s="133"/>
      <c r="C105" s="155"/>
      <c r="D105" s="134"/>
      <c r="E105" s="82"/>
      <c r="F105" s="82"/>
      <c r="G105" s="82"/>
    </row>
    <row r="106">
      <c r="A106" s="154"/>
      <c r="B106" s="133"/>
      <c r="C106" s="155"/>
      <c r="D106" s="134"/>
      <c r="E106" s="82"/>
      <c r="F106" s="82"/>
      <c r="G106" s="82"/>
    </row>
    <row r="107">
      <c r="A107" s="154"/>
      <c r="B107" s="133"/>
      <c r="C107" s="155"/>
      <c r="D107" s="134"/>
      <c r="E107" s="82"/>
      <c r="F107" s="82"/>
      <c r="G107" s="82"/>
    </row>
    <row r="108">
      <c r="A108" s="154"/>
      <c r="B108" s="133"/>
      <c r="C108" s="155"/>
      <c r="D108" s="134"/>
      <c r="E108" s="82"/>
      <c r="F108" s="82"/>
      <c r="G108" s="82"/>
    </row>
    <row r="109">
      <c r="A109" s="154"/>
      <c r="B109" s="133"/>
      <c r="C109" s="155"/>
      <c r="D109" s="134"/>
      <c r="E109" s="82"/>
      <c r="F109" s="82"/>
      <c r="G109" s="82"/>
    </row>
    <row r="110">
      <c r="A110" s="154"/>
      <c r="B110" s="133"/>
      <c r="C110" s="155"/>
      <c r="D110" s="134"/>
      <c r="E110" s="82"/>
      <c r="F110" s="82"/>
      <c r="G110" s="82"/>
    </row>
    <row r="111">
      <c r="A111" s="154"/>
      <c r="B111" s="133"/>
      <c r="C111" s="155"/>
      <c r="D111" s="134"/>
      <c r="E111" s="82"/>
      <c r="F111" s="82"/>
      <c r="G111" s="82"/>
    </row>
    <row r="112">
      <c r="A112" s="154"/>
      <c r="B112" s="133"/>
      <c r="C112" s="155"/>
      <c r="D112" s="134"/>
      <c r="E112" s="82"/>
      <c r="F112" s="82"/>
      <c r="G112" s="82"/>
    </row>
    <row r="113">
      <c r="A113" s="154"/>
      <c r="B113" s="133"/>
      <c r="C113" s="155"/>
      <c r="D113" s="134"/>
      <c r="E113" s="82"/>
      <c r="F113" s="82"/>
      <c r="G113" s="82"/>
    </row>
    <row r="114">
      <c r="A114" s="154"/>
      <c r="B114" s="133"/>
      <c r="C114" s="155"/>
      <c r="D114" s="134"/>
      <c r="E114" s="82"/>
      <c r="F114" s="82"/>
      <c r="G114" s="82"/>
    </row>
    <row r="115">
      <c r="A115" s="154"/>
      <c r="B115" s="133"/>
      <c r="C115" s="155"/>
      <c r="D115" s="134"/>
      <c r="E115" s="82"/>
      <c r="F115" s="82"/>
      <c r="G115" s="82"/>
    </row>
    <row r="116">
      <c r="A116" s="154"/>
      <c r="B116" s="133"/>
      <c r="C116" s="155"/>
      <c r="D116" s="134"/>
      <c r="E116" s="82"/>
      <c r="F116" s="82"/>
      <c r="G116" s="82"/>
    </row>
    <row r="117">
      <c r="A117" s="154"/>
      <c r="B117" s="133"/>
      <c r="C117" s="155"/>
      <c r="D117" s="134"/>
      <c r="E117" s="82"/>
      <c r="F117" s="82"/>
      <c r="G117" s="82"/>
    </row>
    <row r="118">
      <c r="A118" s="154"/>
      <c r="B118" s="133"/>
      <c r="C118" s="155"/>
      <c r="D118" s="134"/>
      <c r="E118" s="82"/>
      <c r="F118" s="82"/>
      <c r="G118" s="82"/>
    </row>
    <row r="119">
      <c r="A119" s="154"/>
      <c r="B119" s="133"/>
      <c r="C119" s="155"/>
      <c r="D119" s="134"/>
      <c r="E119" s="82"/>
      <c r="F119" s="82"/>
      <c r="G119" s="82"/>
    </row>
    <row r="120">
      <c r="A120" s="154"/>
      <c r="B120" s="133"/>
      <c r="C120" s="155"/>
      <c r="D120" s="134"/>
      <c r="E120" s="82"/>
      <c r="F120" s="82"/>
      <c r="G120" s="82"/>
    </row>
    <row r="121">
      <c r="A121" s="154"/>
      <c r="B121" s="133"/>
      <c r="C121" s="155"/>
      <c r="D121" s="134"/>
      <c r="E121" s="82"/>
      <c r="F121" s="82"/>
      <c r="G121" s="82"/>
    </row>
    <row r="122">
      <c r="A122" s="154"/>
      <c r="B122" s="133"/>
      <c r="C122" s="155"/>
      <c r="D122" s="134"/>
      <c r="E122" s="82"/>
      <c r="F122" s="82"/>
      <c r="G122" s="82"/>
    </row>
    <row r="123">
      <c r="A123" s="154"/>
      <c r="B123" s="133"/>
      <c r="C123" s="155"/>
      <c r="D123" s="134"/>
      <c r="E123" s="82"/>
      <c r="F123" s="82"/>
      <c r="G123" s="82"/>
    </row>
    <row r="124">
      <c r="A124" s="154"/>
      <c r="B124" s="133"/>
      <c r="C124" s="155"/>
      <c r="D124" s="134"/>
      <c r="E124" s="82"/>
      <c r="F124" s="82"/>
      <c r="G124" s="82"/>
    </row>
    <row r="125">
      <c r="A125" s="154"/>
      <c r="B125" s="133"/>
      <c r="C125" s="155"/>
      <c r="D125" s="134"/>
      <c r="E125" s="82"/>
      <c r="F125" s="82"/>
      <c r="G125" s="82"/>
    </row>
    <row r="126">
      <c r="A126" s="154"/>
      <c r="B126" s="133"/>
      <c r="C126" s="155"/>
      <c r="D126" s="134"/>
      <c r="E126" s="82"/>
      <c r="F126" s="82"/>
      <c r="G126" s="82"/>
    </row>
    <row r="127">
      <c r="A127" s="154"/>
      <c r="B127" s="133"/>
      <c r="C127" s="155"/>
      <c r="D127" s="134"/>
      <c r="E127" s="82"/>
      <c r="F127" s="82"/>
      <c r="G127" s="82"/>
    </row>
    <row r="128">
      <c r="A128" s="154"/>
      <c r="B128" s="133"/>
      <c r="C128" s="155"/>
      <c r="D128" s="134"/>
      <c r="E128" s="82"/>
      <c r="F128" s="82"/>
      <c r="G128" s="82"/>
    </row>
    <row r="129">
      <c r="A129" s="154"/>
      <c r="B129" s="133"/>
      <c r="C129" s="155"/>
      <c r="D129" s="134"/>
      <c r="E129" s="82"/>
      <c r="F129" s="82"/>
      <c r="G129" s="82"/>
    </row>
    <row r="130">
      <c r="A130" s="154"/>
      <c r="B130" s="133"/>
      <c r="C130" s="155"/>
      <c r="D130" s="134"/>
      <c r="E130" s="82"/>
      <c r="F130" s="82"/>
      <c r="G130" s="82"/>
    </row>
    <row r="131">
      <c r="A131" s="154"/>
      <c r="B131" s="133"/>
      <c r="C131" s="155"/>
      <c r="D131" s="134"/>
      <c r="E131" s="82"/>
      <c r="F131" s="82"/>
      <c r="G131" s="82"/>
    </row>
    <row r="132">
      <c r="A132" s="154"/>
      <c r="B132" s="133"/>
      <c r="C132" s="155"/>
      <c r="D132" s="134"/>
      <c r="E132" s="82"/>
      <c r="F132" s="82"/>
      <c r="G132" s="82"/>
    </row>
    <row r="133">
      <c r="A133" s="154"/>
      <c r="B133" s="133"/>
      <c r="C133" s="155"/>
      <c r="D133" s="134"/>
      <c r="E133" s="82"/>
      <c r="F133" s="82"/>
      <c r="G133" s="82"/>
    </row>
    <row r="134">
      <c r="A134" s="154"/>
      <c r="B134" s="133"/>
      <c r="C134" s="155"/>
      <c r="D134" s="134"/>
      <c r="E134" s="82"/>
      <c r="F134" s="82"/>
      <c r="G134" s="82"/>
    </row>
    <row r="135">
      <c r="A135" s="154"/>
      <c r="B135" s="133"/>
      <c r="C135" s="155"/>
      <c r="D135" s="134"/>
      <c r="E135" s="82"/>
      <c r="F135" s="82"/>
      <c r="G135" s="82"/>
    </row>
    <row r="136">
      <c r="A136" s="154"/>
      <c r="B136" s="133"/>
      <c r="C136" s="155"/>
      <c r="D136" s="134"/>
      <c r="E136" s="82"/>
      <c r="F136" s="82"/>
      <c r="G136" s="82"/>
    </row>
    <row r="137">
      <c r="A137" s="154"/>
      <c r="B137" s="133"/>
      <c r="C137" s="155"/>
      <c r="D137" s="134"/>
      <c r="E137" s="82"/>
      <c r="F137" s="82"/>
      <c r="G137" s="82"/>
    </row>
    <row r="138">
      <c r="A138" s="154"/>
      <c r="B138" s="133"/>
      <c r="C138" s="155"/>
      <c r="D138" s="134"/>
      <c r="E138" s="82"/>
      <c r="F138" s="82"/>
      <c r="G138" s="82"/>
    </row>
    <row r="139">
      <c r="A139" s="154"/>
      <c r="B139" s="133"/>
      <c r="C139" s="155"/>
      <c r="D139" s="134"/>
      <c r="E139" s="82"/>
      <c r="F139" s="82"/>
      <c r="G139" s="82"/>
    </row>
    <row r="140">
      <c r="A140" s="154"/>
      <c r="B140" s="133"/>
      <c r="C140" s="155"/>
      <c r="D140" s="134"/>
      <c r="E140" s="82"/>
      <c r="F140" s="82"/>
      <c r="G140" s="82"/>
    </row>
    <row r="141">
      <c r="A141" s="154"/>
      <c r="B141" s="133"/>
      <c r="C141" s="155"/>
      <c r="D141" s="134"/>
      <c r="E141" s="82"/>
      <c r="F141" s="82"/>
      <c r="G141" s="82"/>
    </row>
    <row r="142">
      <c r="A142" s="154"/>
      <c r="B142" s="133"/>
      <c r="C142" s="155"/>
      <c r="D142" s="134"/>
      <c r="E142" s="82"/>
      <c r="F142" s="82"/>
      <c r="G142" s="82"/>
    </row>
    <row r="143">
      <c r="A143" s="154"/>
      <c r="B143" s="133"/>
      <c r="C143" s="155"/>
      <c r="D143" s="134"/>
      <c r="E143" s="82"/>
      <c r="F143" s="82"/>
      <c r="G143" s="82"/>
    </row>
    <row r="144">
      <c r="A144" s="154"/>
      <c r="B144" s="133"/>
      <c r="C144" s="155"/>
      <c r="D144" s="134"/>
      <c r="E144" s="82"/>
      <c r="F144" s="82"/>
      <c r="G144" s="82"/>
    </row>
    <row r="145">
      <c r="A145" s="154"/>
      <c r="B145" s="133"/>
      <c r="C145" s="155"/>
      <c r="D145" s="134"/>
      <c r="E145" s="82"/>
      <c r="F145" s="82"/>
      <c r="G145" s="82"/>
    </row>
    <row r="146">
      <c r="A146" s="154"/>
      <c r="B146" s="133"/>
      <c r="C146" s="155"/>
      <c r="D146" s="134"/>
      <c r="E146" s="82"/>
      <c r="F146" s="82"/>
      <c r="G146" s="82"/>
    </row>
    <row r="147">
      <c r="A147" s="154"/>
      <c r="B147" s="133"/>
      <c r="C147" s="155"/>
      <c r="D147" s="134"/>
      <c r="E147" s="82"/>
      <c r="F147" s="82"/>
      <c r="G147" s="82"/>
    </row>
    <row r="148">
      <c r="A148" s="154"/>
      <c r="B148" s="133"/>
      <c r="C148" s="155"/>
      <c r="D148" s="134"/>
      <c r="E148" s="82"/>
      <c r="F148" s="82"/>
      <c r="G148" s="82"/>
    </row>
    <row r="149">
      <c r="A149" s="154"/>
      <c r="B149" s="133"/>
      <c r="C149" s="155"/>
      <c r="D149" s="134"/>
      <c r="E149" s="82"/>
      <c r="F149" s="82"/>
      <c r="G149" s="82"/>
    </row>
    <row r="150">
      <c r="A150" s="154"/>
      <c r="B150" s="133"/>
      <c r="C150" s="155"/>
      <c r="D150" s="134"/>
      <c r="E150" s="82"/>
      <c r="F150" s="82"/>
      <c r="G150" s="82"/>
    </row>
    <row r="151">
      <c r="A151" s="154"/>
      <c r="B151" s="133"/>
      <c r="C151" s="155"/>
      <c r="D151" s="134"/>
      <c r="E151" s="82"/>
      <c r="F151" s="82"/>
      <c r="G151" s="82"/>
    </row>
    <row r="152">
      <c r="A152" s="154"/>
      <c r="B152" s="133"/>
      <c r="C152" s="155"/>
      <c r="D152" s="134"/>
      <c r="E152" s="82"/>
      <c r="F152" s="82"/>
      <c r="G152" s="82"/>
    </row>
    <row r="153">
      <c r="A153" s="154"/>
      <c r="B153" s="133"/>
      <c r="C153" s="155"/>
      <c r="D153" s="134"/>
      <c r="E153" s="82"/>
      <c r="F153" s="82"/>
      <c r="G153" s="82"/>
    </row>
    <row r="154">
      <c r="A154" s="154"/>
      <c r="B154" s="133"/>
      <c r="C154" s="155"/>
      <c r="D154" s="134"/>
      <c r="E154" s="82"/>
      <c r="F154" s="82"/>
      <c r="G154" s="82"/>
    </row>
    <row r="155">
      <c r="A155" s="154"/>
      <c r="B155" s="133"/>
      <c r="C155" s="155"/>
      <c r="D155" s="134"/>
      <c r="E155" s="82"/>
      <c r="F155" s="82"/>
      <c r="G155" s="82"/>
    </row>
    <row r="156">
      <c r="A156" s="154"/>
      <c r="B156" s="133"/>
      <c r="C156" s="155"/>
      <c r="D156" s="134"/>
      <c r="E156" s="82"/>
      <c r="F156" s="82"/>
      <c r="G156" s="82"/>
    </row>
    <row r="157">
      <c r="A157" s="154"/>
      <c r="B157" s="133"/>
      <c r="C157" s="155"/>
      <c r="D157" s="134"/>
      <c r="E157" s="82"/>
      <c r="F157" s="82"/>
      <c r="G157" s="82"/>
    </row>
    <row r="158">
      <c r="A158" s="154"/>
      <c r="B158" s="133"/>
      <c r="C158" s="155"/>
      <c r="D158" s="134"/>
      <c r="E158" s="82"/>
      <c r="F158" s="82"/>
      <c r="G158" s="82"/>
    </row>
    <row r="159">
      <c r="A159" s="154"/>
      <c r="B159" s="133"/>
      <c r="C159" s="155"/>
      <c r="D159" s="134"/>
      <c r="E159" s="82"/>
      <c r="F159" s="82"/>
      <c r="G159" s="82"/>
    </row>
    <row r="160">
      <c r="A160" s="154"/>
      <c r="B160" s="133"/>
      <c r="C160" s="155"/>
      <c r="D160" s="134"/>
      <c r="E160" s="82"/>
      <c r="F160" s="82"/>
      <c r="G160" s="82"/>
    </row>
    <row r="161">
      <c r="A161" s="154"/>
      <c r="B161" s="133"/>
      <c r="C161" s="155"/>
      <c r="D161" s="134"/>
      <c r="E161" s="82"/>
      <c r="F161" s="82"/>
      <c r="G161" s="82"/>
    </row>
    <row r="162">
      <c r="A162" s="154"/>
      <c r="B162" s="133"/>
      <c r="C162" s="155"/>
      <c r="D162" s="134"/>
      <c r="E162" s="82"/>
      <c r="F162" s="82"/>
      <c r="G162" s="82"/>
    </row>
    <row r="163">
      <c r="A163" s="154"/>
      <c r="B163" s="133"/>
      <c r="C163" s="155"/>
      <c r="D163" s="134"/>
      <c r="E163" s="82"/>
      <c r="F163" s="82"/>
      <c r="G163" s="82"/>
    </row>
    <row r="164">
      <c r="A164" s="154"/>
      <c r="B164" s="133"/>
      <c r="C164" s="155"/>
      <c r="D164" s="134"/>
      <c r="E164" s="82"/>
      <c r="F164" s="82"/>
      <c r="G164" s="82"/>
    </row>
    <row r="165">
      <c r="A165" s="154"/>
      <c r="B165" s="133"/>
      <c r="C165" s="155"/>
      <c r="D165" s="134"/>
      <c r="E165" s="82"/>
      <c r="F165" s="82"/>
      <c r="G165" s="82"/>
    </row>
    <row r="166">
      <c r="A166" s="154"/>
      <c r="B166" s="133"/>
      <c r="C166" s="155"/>
      <c r="D166" s="134"/>
      <c r="E166" s="82"/>
      <c r="F166" s="82"/>
      <c r="G166" s="82"/>
    </row>
    <row r="167">
      <c r="A167" s="154"/>
      <c r="B167" s="133"/>
      <c r="C167" s="155"/>
      <c r="D167" s="134"/>
      <c r="E167" s="82"/>
      <c r="F167" s="82"/>
      <c r="G167" s="82"/>
    </row>
    <row r="168">
      <c r="A168" s="154"/>
      <c r="B168" s="133"/>
      <c r="C168" s="155"/>
      <c r="D168" s="134"/>
      <c r="E168" s="82"/>
      <c r="F168" s="82"/>
      <c r="G168" s="82"/>
    </row>
    <row r="169">
      <c r="A169" s="154"/>
      <c r="B169" s="133"/>
      <c r="C169" s="155"/>
      <c r="D169" s="134"/>
      <c r="E169" s="82"/>
      <c r="F169" s="82"/>
      <c r="G169" s="82"/>
    </row>
    <row r="170">
      <c r="A170" s="154"/>
      <c r="B170" s="133"/>
      <c r="C170" s="155"/>
      <c r="D170" s="134"/>
      <c r="E170" s="82"/>
      <c r="F170" s="82"/>
      <c r="G170" s="82"/>
    </row>
    <row r="171">
      <c r="A171" s="154"/>
      <c r="B171" s="133"/>
      <c r="C171" s="155"/>
      <c r="D171" s="134"/>
      <c r="E171" s="82"/>
      <c r="F171" s="82"/>
      <c r="G171" s="82"/>
    </row>
    <row r="172">
      <c r="A172" s="154"/>
      <c r="B172" s="133"/>
      <c r="C172" s="155"/>
      <c r="D172" s="134"/>
      <c r="E172" s="82"/>
      <c r="F172" s="82"/>
      <c r="G172" s="82"/>
    </row>
    <row r="173">
      <c r="A173" s="154"/>
      <c r="B173" s="133"/>
      <c r="C173" s="155"/>
      <c r="D173" s="134"/>
      <c r="E173" s="82"/>
      <c r="F173" s="82"/>
      <c r="G173" s="82"/>
    </row>
    <row r="174">
      <c r="A174" s="154"/>
      <c r="B174" s="133"/>
      <c r="C174" s="155"/>
      <c r="D174" s="134"/>
      <c r="E174" s="82"/>
      <c r="F174" s="82"/>
      <c r="G174" s="82"/>
    </row>
    <row r="175">
      <c r="A175" s="154"/>
      <c r="B175" s="133"/>
      <c r="C175" s="155"/>
      <c r="D175" s="134"/>
      <c r="E175" s="82"/>
      <c r="F175" s="82"/>
      <c r="G175" s="82"/>
    </row>
    <row r="176">
      <c r="A176" s="154"/>
      <c r="B176" s="133"/>
      <c r="C176" s="155"/>
      <c r="D176" s="134"/>
      <c r="E176" s="82"/>
      <c r="F176" s="82"/>
      <c r="G176" s="82"/>
    </row>
    <row r="177">
      <c r="A177" s="154"/>
      <c r="B177" s="133"/>
      <c r="C177" s="155"/>
      <c r="D177" s="134"/>
      <c r="E177" s="82"/>
      <c r="F177" s="82"/>
      <c r="G177" s="82"/>
    </row>
    <row r="178">
      <c r="A178" s="154"/>
      <c r="B178" s="133"/>
      <c r="C178" s="155"/>
      <c r="D178" s="134"/>
      <c r="E178" s="82"/>
      <c r="F178" s="82"/>
      <c r="G178" s="82"/>
    </row>
    <row r="179">
      <c r="A179" s="154"/>
      <c r="B179" s="133"/>
      <c r="C179" s="155"/>
      <c r="D179" s="134"/>
      <c r="E179" s="82"/>
      <c r="F179" s="82"/>
      <c r="G179" s="82"/>
    </row>
    <row r="180">
      <c r="A180" s="154"/>
      <c r="B180" s="133"/>
      <c r="C180" s="155"/>
      <c r="D180" s="134"/>
      <c r="E180" s="82"/>
      <c r="F180" s="82"/>
      <c r="G180" s="82"/>
    </row>
    <row r="181">
      <c r="A181" s="154"/>
      <c r="B181" s="133"/>
      <c r="C181" s="155"/>
      <c r="D181" s="134"/>
      <c r="E181" s="82"/>
      <c r="F181" s="82"/>
      <c r="G181" s="82"/>
    </row>
    <row r="182">
      <c r="A182" s="154"/>
      <c r="B182" s="133"/>
      <c r="C182" s="155"/>
      <c r="D182" s="134"/>
      <c r="E182" s="82"/>
      <c r="F182" s="82"/>
      <c r="G182" s="82"/>
    </row>
    <row r="183">
      <c r="A183" s="154"/>
      <c r="B183" s="133"/>
      <c r="C183" s="155"/>
      <c r="D183" s="134"/>
      <c r="E183" s="82"/>
      <c r="F183" s="82"/>
      <c r="G183" s="82"/>
    </row>
    <row r="184">
      <c r="A184" s="154"/>
      <c r="B184" s="133"/>
      <c r="C184" s="155"/>
      <c r="D184" s="134"/>
      <c r="E184" s="82"/>
      <c r="F184" s="82"/>
      <c r="G184" s="82"/>
    </row>
    <row r="185">
      <c r="A185" s="154"/>
      <c r="B185" s="133"/>
      <c r="C185" s="155"/>
      <c r="D185" s="134"/>
      <c r="E185" s="82"/>
      <c r="F185" s="82"/>
      <c r="G185" s="82"/>
    </row>
    <row r="186">
      <c r="A186" s="154"/>
      <c r="B186" s="133"/>
      <c r="C186" s="155"/>
      <c r="D186" s="134"/>
      <c r="E186" s="82"/>
      <c r="F186" s="82"/>
      <c r="G186" s="82"/>
    </row>
    <row r="187">
      <c r="A187" s="154"/>
      <c r="B187" s="133"/>
      <c r="C187" s="155"/>
      <c r="D187" s="134"/>
      <c r="E187" s="82"/>
      <c r="F187" s="82"/>
      <c r="G187" s="82"/>
    </row>
    <row r="188">
      <c r="A188" s="154"/>
      <c r="B188" s="133"/>
      <c r="C188" s="155"/>
      <c r="D188" s="134"/>
      <c r="E188" s="82"/>
      <c r="F188" s="82"/>
      <c r="G188" s="82"/>
    </row>
    <row r="189">
      <c r="A189" s="154"/>
      <c r="B189" s="133"/>
      <c r="C189" s="155"/>
      <c r="D189" s="134"/>
      <c r="E189" s="82"/>
      <c r="F189" s="82"/>
      <c r="G189" s="82"/>
    </row>
    <row r="190">
      <c r="A190" s="154"/>
      <c r="B190" s="133"/>
      <c r="C190" s="155"/>
      <c r="D190" s="134"/>
      <c r="E190" s="82"/>
      <c r="F190" s="82"/>
      <c r="G190" s="82"/>
    </row>
    <row r="191">
      <c r="A191" s="154"/>
      <c r="B191" s="133"/>
      <c r="C191" s="155"/>
      <c r="D191" s="134"/>
      <c r="E191" s="82"/>
      <c r="F191" s="82"/>
      <c r="G191" s="82"/>
    </row>
    <row r="192">
      <c r="A192" s="154"/>
      <c r="B192" s="133"/>
      <c r="C192" s="155"/>
      <c r="D192" s="134"/>
      <c r="E192" s="82"/>
      <c r="F192" s="82"/>
      <c r="G192" s="82"/>
    </row>
    <row r="193">
      <c r="A193" s="154"/>
      <c r="B193" s="133"/>
      <c r="C193" s="155"/>
      <c r="D193" s="134"/>
      <c r="E193" s="82"/>
      <c r="F193" s="82"/>
      <c r="G193" s="82"/>
    </row>
    <row r="194">
      <c r="A194" s="154"/>
      <c r="B194" s="133"/>
      <c r="C194" s="155"/>
      <c r="D194" s="134"/>
      <c r="E194" s="82"/>
      <c r="F194" s="82"/>
      <c r="G194" s="82"/>
    </row>
    <row r="195">
      <c r="A195" s="154"/>
      <c r="B195" s="133"/>
      <c r="C195" s="155"/>
      <c r="D195" s="134"/>
      <c r="E195" s="82"/>
      <c r="F195" s="82"/>
      <c r="G195" s="82"/>
    </row>
    <row r="196">
      <c r="A196" s="154"/>
      <c r="B196" s="133"/>
      <c r="C196" s="155"/>
      <c r="D196" s="134"/>
      <c r="E196" s="82"/>
      <c r="F196" s="82"/>
      <c r="G196" s="82"/>
    </row>
    <row r="197">
      <c r="A197" s="154"/>
      <c r="B197" s="133"/>
      <c r="C197" s="155"/>
      <c r="D197" s="134"/>
      <c r="E197" s="82"/>
      <c r="F197" s="82"/>
      <c r="G197" s="82"/>
    </row>
    <row r="198">
      <c r="A198" s="154"/>
      <c r="B198" s="133"/>
      <c r="C198" s="155"/>
      <c r="D198" s="134"/>
      <c r="E198" s="82"/>
      <c r="F198" s="82"/>
      <c r="G198" s="82"/>
    </row>
    <row r="199">
      <c r="A199" s="154"/>
      <c r="B199" s="133"/>
      <c r="C199" s="155"/>
      <c r="D199" s="134"/>
      <c r="E199" s="82"/>
      <c r="F199" s="82"/>
      <c r="G199" s="82"/>
    </row>
    <row r="200">
      <c r="A200" s="154"/>
      <c r="B200" s="133"/>
      <c r="C200" s="155"/>
      <c r="D200" s="134"/>
      <c r="E200" s="82"/>
      <c r="F200" s="82"/>
      <c r="G200" s="82"/>
    </row>
    <row r="201">
      <c r="A201" s="154"/>
      <c r="B201" s="133"/>
      <c r="C201" s="155"/>
      <c r="D201" s="134"/>
      <c r="E201" s="82"/>
      <c r="F201" s="82"/>
      <c r="G201" s="82"/>
    </row>
    <row r="202">
      <c r="A202" s="154"/>
      <c r="B202" s="133"/>
      <c r="C202" s="155"/>
      <c r="D202" s="134"/>
      <c r="E202" s="82"/>
      <c r="F202" s="82"/>
      <c r="G202" s="82"/>
    </row>
    <row r="203">
      <c r="A203" s="154"/>
      <c r="B203" s="133"/>
      <c r="C203" s="155"/>
      <c r="D203" s="134"/>
      <c r="E203" s="82"/>
      <c r="F203" s="82"/>
      <c r="G203" s="82"/>
    </row>
    <row r="204">
      <c r="A204" s="154"/>
      <c r="B204" s="133"/>
      <c r="C204" s="155"/>
      <c r="D204" s="134"/>
      <c r="E204" s="82"/>
      <c r="F204" s="82"/>
      <c r="G204" s="82"/>
    </row>
    <row r="205">
      <c r="A205" s="154"/>
      <c r="B205" s="133"/>
      <c r="C205" s="155"/>
      <c r="D205" s="134"/>
      <c r="E205" s="82"/>
      <c r="F205" s="82"/>
      <c r="G205" s="82"/>
    </row>
    <row r="206">
      <c r="A206" s="154"/>
      <c r="B206" s="133"/>
      <c r="C206" s="155"/>
      <c r="D206" s="134"/>
      <c r="E206" s="82"/>
      <c r="F206" s="82"/>
      <c r="G206" s="82"/>
    </row>
    <row r="207">
      <c r="A207" s="154"/>
      <c r="B207" s="133"/>
      <c r="C207" s="155"/>
      <c r="D207" s="134"/>
      <c r="E207" s="82"/>
      <c r="F207" s="82"/>
      <c r="G207" s="82"/>
    </row>
    <row r="208">
      <c r="A208" s="154"/>
      <c r="B208" s="133"/>
      <c r="C208" s="155"/>
      <c r="D208" s="134"/>
      <c r="E208" s="82"/>
      <c r="F208" s="82"/>
      <c r="G208" s="82"/>
    </row>
    <row r="209">
      <c r="A209" s="154"/>
      <c r="B209" s="133"/>
      <c r="C209" s="155"/>
      <c r="D209" s="134"/>
      <c r="E209" s="82"/>
      <c r="F209" s="82"/>
      <c r="G209" s="82"/>
    </row>
    <row r="210">
      <c r="A210" s="154"/>
      <c r="B210" s="133"/>
      <c r="C210" s="155"/>
      <c r="D210" s="134"/>
      <c r="E210" s="82"/>
      <c r="F210" s="82"/>
      <c r="G210" s="82"/>
    </row>
    <row r="211">
      <c r="A211" s="154"/>
      <c r="B211" s="133"/>
      <c r="C211" s="155"/>
      <c r="D211" s="134"/>
      <c r="E211" s="82"/>
      <c r="F211" s="82"/>
      <c r="G211" s="82"/>
    </row>
    <row r="212">
      <c r="A212" s="154"/>
      <c r="B212" s="133"/>
      <c r="C212" s="155"/>
      <c r="D212" s="134"/>
      <c r="E212" s="82"/>
      <c r="F212" s="82"/>
      <c r="G212" s="82"/>
    </row>
    <row r="213">
      <c r="A213" s="154"/>
      <c r="B213" s="133"/>
      <c r="C213" s="155"/>
      <c r="D213" s="134"/>
      <c r="E213" s="82"/>
      <c r="F213" s="82"/>
      <c r="G213" s="82"/>
    </row>
    <row r="214">
      <c r="A214" s="154"/>
      <c r="B214" s="133"/>
      <c r="C214" s="155"/>
      <c r="D214" s="134"/>
      <c r="E214" s="82"/>
      <c r="F214" s="82"/>
      <c r="G214" s="82"/>
    </row>
    <row r="215">
      <c r="A215" s="154"/>
      <c r="B215" s="133"/>
      <c r="C215" s="155"/>
      <c r="D215" s="134"/>
      <c r="E215" s="82"/>
      <c r="F215" s="82"/>
      <c r="G215" s="82"/>
    </row>
    <row r="216">
      <c r="A216" s="154"/>
      <c r="B216" s="133"/>
      <c r="C216" s="155"/>
      <c r="D216" s="134"/>
      <c r="E216" s="82"/>
      <c r="F216" s="82"/>
      <c r="G216" s="82"/>
    </row>
    <row r="217">
      <c r="A217" s="154"/>
      <c r="B217" s="133"/>
      <c r="C217" s="155"/>
      <c r="D217" s="134"/>
      <c r="E217" s="82"/>
      <c r="F217" s="82"/>
      <c r="G217" s="82"/>
    </row>
    <row r="218">
      <c r="A218" s="154"/>
      <c r="B218" s="133"/>
      <c r="C218" s="155"/>
      <c r="D218" s="134"/>
      <c r="E218" s="82"/>
      <c r="F218" s="82"/>
      <c r="G218" s="82"/>
    </row>
    <row r="219">
      <c r="A219" s="154"/>
      <c r="B219" s="133"/>
      <c r="C219" s="155"/>
      <c r="D219" s="134"/>
      <c r="E219" s="82"/>
      <c r="F219" s="82"/>
      <c r="G219" s="82"/>
    </row>
    <row r="220">
      <c r="A220" s="154"/>
      <c r="B220" s="133"/>
      <c r="C220" s="155"/>
      <c r="D220" s="134"/>
      <c r="E220" s="82"/>
      <c r="F220" s="82"/>
      <c r="G220" s="82"/>
    </row>
    <row r="221">
      <c r="A221" s="154"/>
      <c r="B221" s="133"/>
      <c r="C221" s="155"/>
      <c r="D221" s="134"/>
      <c r="E221" s="82"/>
      <c r="F221" s="82"/>
      <c r="G221" s="82"/>
    </row>
    <row r="222">
      <c r="A222" s="154"/>
      <c r="B222" s="133"/>
      <c r="C222" s="155"/>
      <c r="D222" s="134"/>
      <c r="E222" s="82"/>
      <c r="F222" s="82"/>
      <c r="G222" s="82"/>
    </row>
    <row r="223">
      <c r="A223" s="154"/>
      <c r="B223" s="133"/>
      <c r="C223" s="155"/>
      <c r="D223" s="134"/>
      <c r="E223" s="82"/>
      <c r="F223" s="82"/>
      <c r="G223" s="82"/>
    </row>
    <row r="224">
      <c r="A224" s="154"/>
      <c r="B224" s="133"/>
      <c r="C224" s="155"/>
      <c r="D224" s="134"/>
      <c r="E224" s="82"/>
      <c r="F224" s="82"/>
      <c r="G224" s="82"/>
    </row>
    <row r="225">
      <c r="A225" s="154"/>
      <c r="B225" s="133"/>
      <c r="C225" s="155"/>
      <c r="D225" s="134"/>
      <c r="E225" s="82"/>
      <c r="F225" s="82"/>
      <c r="G225" s="82"/>
    </row>
    <row r="226">
      <c r="A226" s="154"/>
      <c r="B226" s="133"/>
      <c r="C226" s="155"/>
      <c r="D226" s="134"/>
      <c r="E226" s="82"/>
      <c r="F226" s="82"/>
      <c r="G226" s="82"/>
    </row>
    <row r="227">
      <c r="A227" s="154"/>
      <c r="B227" s="133"/>
      <c r="C227" s="155"/>
      <c r="D227" s="134"/>
      <c r="E227" s="82"/>
      <c r="F227" s="82"/>
      <c r="G227" s="82"/>
    </row>
    <row r="228">
      <c r="A228" s="154"/>
      <c r="B228" s="133"/>
      <c r="C228" s="155"/>
      <c r="D228" s="134"/>
      <c r="E228" s="82"/>
      <c r="F228" s="82"/>
      <c r="G228" s="82"/>
    </row>
    <row r="229">
      <c r="A229" s="154"/>
      <c r="B229" s="133"/>
      <c r="C229" s="155"/>
      <c r="D229" s="134"/>
      <c r="E229" s="82"/>
      <c r="F229" s="82"/>
      <c r="G229" s="82"/>
    </row>
    <row r="230">
      <c r="A230" s="154"/>
      <c r="B230" s="133"/>
      <c r="C230" s="155"/>
      <c r="D230" s="134"/>
      <c r="E230" s="82"/>
      <c r="F230" s="82"/>
      <c r="G230" s="82"/>
    </row>
    <row r="231">
      <c r="A231" s="154"/>
      <c r="B231" s="133"/>
      <c r="C231" s="155"/>
      <c r="D231" s="134"/>
      <c r="E231" s="82"/>
      <c r="F231" s="82"/>
      <c r="G231" s="82"/>
    </row>
    <row r="232">
      <c r="A232" s="154"/>
      <c r="B232" s="133"/>
      <c r="C232" s="155"/>
      <c r="D232" s="134"/>
      <c r="E232" s="82"/>
      <c r="F232" s="82"/>
      <c r="G232" s="82"/>
    </row>
    <row r="233">
      <c r="A233" s="154"/>
      <c r="B233" s="133"/>
      <c r="C233" s="155"/>
      <c r="D233" s="134"/>
      <c r="E233" s="82"/>
      <c r="F233" s="82"/>
      <c r="G233" s="82"/>
    </row>
    <row r="234">
      <c r="A234" s="154"/>
      <c r="B234" s="133"/>
      <c r="C234" s="155"/>
      <c r="D234" s="134"/>
      <c r="E234" s="82"/>
      <c r="F234" s="82"/>
      <c r="G234" s="82"/>
    </row>
    <row r="235">
      <c r="A235" s="154"/>
      <c r="B235" s="133"/>
      <c r="C235" s="155"/>
      <c r="D235" s="134"/>
      <c r="E235" s="82"/>
      <c r="F235" s="82"/>
      <c r="G235" s="82"/>
    </row>
    <row r="236">
      <c r="A236" s="154"/>
      <c r="B236" s="133"/>
      <c r="C236" s="155"/>
      <c r="D236" s="134"/>
      <c r="E236" s="82"/>
      <c r="F236" s="82"/>
      <c r="G236" s="82"/>
    </row>
    <row r="237">
      <c r="A237" s="154"/>
      <c r="B237" s="133"/>
      <c r="C237" s="155"/>
      <c r="D237" s="134"/>
      <c r="E237" s="82"/>
      <c r="F237" s="82"/>
      <c r="G237" s="82"/>
    </row>
    <row r="238">
      <c r="A238" s="154"/>
      <c r="B238" s="133"/>
      <c r="C238" s="155"/>
      <c r="D238" s="134"/>
      <c r="E238" s="82"/>
      <c r="F238" s="82"/>
      <c r="G238" s="82"/>
    </row>
    <row r="239">
      <c r="A239" s="154"/>
      <c r="B239" s="133"/>
      <c r="C239" s="155"/>
      <c r="D239" s="134"/>
      <c r="E239" s="82"/>
      <c r="F239" s="82"/>
      <c r="G239" s="82"/>
    </row>
    <row r="240">
      <c r="A240" s="154"/>
      <c r="B240" s="133"/>
      <c r="C240" s="155"/>
      <c r="D240" s="134"/>
      <c r="E240" s="82"/>
      <c r="F240" s="82"/>
      <c r="G240" s="82"/>
    </row>
    <row r="241">
      <c r="A241" s="154"/>
      <c r="B241" s="133"/>
      <c r="C241" s="155"/>
      <c r="D241" s="134"/>
      <c r="E241" s="82"/>
      <c r="F241" s="82"/>
      <c r="G241" s="82"/>
    </row>
    <row r="242">
      <c r="A242" s="154"/>
      <c r="B242" s="133"/>
      <c r="C242" s="155"/>
      <c r="D242" s="134"/>
      <c r="E242" s="82"/>
      <c r="F242" s="82"/>
      <c r="G242" s="82"/>
    </row>
    <row r="243">
      <c r="A243" s="154"/>
      <c r="B243" s="133"/>
      <c r="C243" s="155"/>
      <c r="D243" s="134"/>
      <c r="E243" s="82"/>
      <c r="F243" s="82"/>
      <c r="G243" s="82"/>
    </row>
    <row r="244">
      <c r="A244" s="154"/>
      <c r="B244" s="133"/>
      <c r="C244" s="155"/>
      <c r="D244" s="134"/>
      <c r="E244" s="82"/>
      <c r="F244" s="82"/>
      <c r="G244" s="82"/>
    </row>
    <row r="245">
      <c r="A245" s="154"/>
      <c r="B245" s="133"/>
      <c r="C245" s="155"/>
      <c r="D245" s="134"/>
      <c r="E245" s="82"/>
      <c r="F245" s="82"/>
      <c r="G245" s="82"/>
    </row>
    <row r="246">
      <c r="A246" s="154"/>
      <c r="B246" s="133"/>
      <c r="C246" s="155"/>
      <c r="D246" s="134"/>
      <c r="E246" s="82"/>
      <c r="F246" s="82"/>
      <c r="G246" s="82"/>
    </row>
    <row r="247">
      <c r="A247" s="154"/>
      <c r="B247" s="133"/>
      <c r="C247" s="155"/>
      <c r="D247" s="134"/>
      <c r="E247" s="82"/>
      <c r="F247" s="82"/>
      <c r="G247" s="82"/>
    </row>
    <row r="248">
      <c r="A248" s="154"/>
      <c r="B248" s="133"/>
      <c r="C248" s="155"/>
      <c r="D248" s="134"/>
      <c r="E248" s="82"/>
      <c r="F248" s="82"/>
      <c r="G248" s="82"/>
    </row>
    <row r="249">
      <c r="A249" s="154"/>
      <c r="B249" s="133"/>
      <c r="C249" s="155"/>
      <c r="D249" s="134"/>
      <c r="E249" s="82"/>
      <c r="F249" s="82"/>
      <c r="G249" s="82"/>
    </row>
    <row r="250">
      <c r="A250" s="154"/>
      <c r="B250" s="133"/>
      <c r="C250" s="155"/>
      <c r="D250" s="134"/>
      <c r="E250" s="82"/>
      <c r="F250" s="82"/>
      <c r="G250" s="82"/>
    </row>
    <row r="251">
      <c r="A251" s="154"/>
      <c r="B251" s="133"/>
      <c r="C251" s="155"/>
      <c r="D251" s="134"/>
      <c r="E251" s="82"/>
      <c r="F251" s="82"/>
      <c r="G251" s="82"/>
    </row>
    <row r="252">
      <c r="A252" s="154"/>
      <c r="B252" s="133"/>
      <c r="C252" s="155"/>
      <c r="D252" s="134"/>
      <c r="E252" s="82"/>
      <c r="F252" s="82"/>
      <c r="G252" s="82"/>
    </row>
    <row r="253">
      <c r="A253" s="154"/>
      <c r="B253" s="133"/>
      <c r="C253" s="155"/>
      <c r="D253" s="134"/>
      <c r="E253" s="82"/>
      <c r="F253" s="82"/>
      <c r="G253" s="82"/>
    </row>
    <row r="254">
      <c r="A254" s="154"/>
      <c r="B254" s="133"/>
      <c r="C254" s="155"/>
      <c r="D254" s="134"/>
      <c r="E254" s="82"/>
      <c r="F254" s="82"/>
      <c r="G254" s="82"/>
    </row>
    <row r="255">
      <c r="A255" s="154"/>
      <c r="B255" s="133"/>
      <c r="C255" s="155"/>
      <c r="D255" s="134"/>
      <c r="E255" s="82"/>
      <c r="F255" s="82"/>
      <c r="G255" s="82"/>
    </row>
    <row r="256">
      <c r="A256" s="154"/>
      <c r="B256" s="133"/>
      <c r="C256" s="155"/>
      <c r="D256" s="134"/>
      <c r="E256" s="82"/>
      <c r="F256" s="82"/>
      <c r="G256" s="82"/>
    </row>
    <row r="257">
      <c r="A257" s="154"/>
      <c r="B257" s="133"/>
      <c r="C257" s="155"/>
      <c r="D257" s="134"/>
      <c r="E257" s="82"/>
      <c r="F257" s="82"/>
      <c r="G257" s="82"/>
    </row>
    <row r="258">
      <c r="A258" s="154"/>
      <c r="B258" s="133"/>
      <c r="C258" s="155"/>
      <c r="D258" s="134"/>
      <c r="E258" s="82"/>
      <c r="F258" s="82"/>
      <c r="G258" s="82"/>
    </row>
    <row r="259">
      <c r="A259" s="154"/>
      <c r="B259" s="133"/>
      <c r="C259" s="155"/>
      <c r="D259" s="134"/>
      <c r="E259" s="82"/>
      <c r="F259" s="82"/>
      <c r="G259" s="82"/>
    </row>
    <row r="260">
      <c r="A260" s="154"/>
      <c r="B260" s="133"/>
      <c r="C260" s="155"/>
      <c r="D260" s="134"/>
      <c r="E260" s="82"/>
      <c r="F260" s="82"/>
      <c r="G260" s="82"/>
    </row>
    <row r="261">
      <c r="A261" s="154"/>
      <c r="B261" s="133"/>
      <c r="C261" s="155"/>
      <c r="D261" s="134"/>
      <c r="E261" s="82"/>
      <c r="F261" s="82"/>
      <c r="G261" s="82"/>
    </row>
    <row r="262">
      <c r="A262" s="154"/>
      <c r="B262" s="133"/>
      <c r="C262" s="155"/>
      <c r="D262" s="134"/>
      <c r="E262" s="82"/>
      <c r="F262" s="82"/>
      <c r="G262" s="82"/>
    </row>
    <row r="263">
      <c r="A263" s="154"/>
      <c r="B263" s="133"/>
      <c r="C263" s="155"/>
      <c r="D263" s="134"/>
      <c r="E263" s="82"/>
      <c r="F263" s="82"/>
      <c r="G263" s="82"/>
    </row>
    <row r="264">
      <c r="A264" s="154"/>
      <c r="B264" s="133"/>
      <c r="C264" s="155"/>
      <c r="D264" s="134"/>
      <c r="E264" s="82"/>
      <c r="F264" s="82"/>
      <c r="G264" s="82"/>
    </row>
    <row r="265">
      <c r="A265" s="154"/>
      <c r="B265" s="133"/>
      <c r="C265" s="155"/>
      <c r="D265" s="134"/>
      <c r="E265" s="82"/>
      <c r="F265" s="82"/>
      <c r="G265" s="82"/>
    </row>
    <row r="266">
      <c r="A266" s="154"/>
      <c r="B266" s="133"/>
      <c r="C266" s="155"/>
      <c r="D266" s="134"/>
      <c r="E266" s="82"/>
      <c r="F266" s="82"/>
      <c r="G266" s="82"/>
    </row>
    <row r="267">
      <c r="A267" s="154"/>
      <c r="B267" s="133"/>
      <c r="C267" s="155"/>
      <c r="D267" s="134"/>
      <c r="E267" s="82"/>
      <c r="F267" s="82"/>
      <c r="G267" s="82"/>
    </row>
    <row r="268">
      <c r="A268" s="154"/>
      <c r="B268" s="133"/>
      <c r="C268" s="155"/>
      <c r="D268" s="134"/>
      <c r="E268" s="82"/>
      <c r="F268" s="82"/>
      <c r="G268" s="82"/>
    </row>
    <row r="269">
      <c r="A269" s="154"/>
      <c r="B269" s="133"/>
      <c r="C269" s="155"/>
      <c r="D269" s="134"/>
      <c r="E269" s="82"/>
      <c r="F269" s="82"/>
      <c r="G269" s="82"/>
    </row>
    <row r="270">
      <c r="A270" s="154"/>
      <c r="B270" s="133"/>
      <c r="C270" s="155"/>
      <c r="D270" s="134"/>
      <c r="E270" s="82"/>
      <c r="F270" s="82"/>
      <c r="G270" s="82"/>
    </row>
    <row r="271">
      <c r="A271" s="154"/>
      <c r="B271" s="133"/>
      <c r="C271" s="155"/>
      <c r="D271" s="134"/>
      <c r="E271" s="82"/>
      <c r="F271" s="82"/>
      <c r="G271" s="82"/>
    </row>
    <row r="272">
      <c r="A272" s="154"/>
      <c r="B272" s="133"/>
      <c r="C272" s="155"/>
      <c r="D272" s="134"/>
      <c r="E272" s="82"/>
      <c r="F272" s="82"/>
      <c r="G272" s="82"/>
    </row>
    <row r="273">
      <c r="A273" s="154"/>
      <c r="B273" s="133"/>
      <c r="C273" s="155"/>
      <c r="D273" s="134"/>
      <c r="E273" s="82"/>
      <c r="F273" s="82"/>
      <c r="G273" s="82"/>
    </row>
    <row r="274">
      <c r="A274" s="154"/>
      <c r="B274" s="133"/>
      <c r="C274" s="155"/>
      <c r="D274" s="134"/>
      <c r="E274" s="82"/>
      <c r="F274" s="82"/>
      <c r="G274" s="82"/>
    </row>
    <row r="275">
      <c r="A275" s="154"/>
      <c r="B275" s="133"/>
      <c r="C275" s="155"/>
      <c r="D275" s="134"/>
      <c r="E275" s="82"/>
      <c r="F275" s="82"/>
      <c r="G275" s="82"/>
    </row>
    <row r="276">
      <c r="A276" s="154"/>
      <c r="B276" s="133"/>
      <c r="C276" s="155"/>
      <c r="D276" s="134"/>
      <c r="E276" s="82"/>
      <c r="F276" s="82"/>
      <c r="G276" s="82"/>
    </row>
    <row r="277">
      <c r="A277" s="154"/>
      <c r="B277" s="133"/>
      <c r="C277" s="155"/>
      <c r="D277" s="134"/>
      <c r="E277" s="82"/>
      <c r="F277" s="82"/>
      <c r="G277" s="82"/>
    </row>
    <row r="278">
      <c r="A278" s="154"/>
      <c r="B278" s="133"/>
      <c r="C278" s="155"/>
      <c r="D278" s="134"/>
      <c r="E278" s="82"/>
      <c r="F278" s="82"/>
      <c r="G278" s="82"/>
    </row>
    <row r="279">
      <c r="A279" s="154"/>
      <c r="B279" s="133"/>
      <c r="C279" s="155"/>
      <c r="D279" s="134"/>
      <c r="E279" s="82"/>
      <c r="F279" s="82"/>
      <c r="G279" s="82"/>
    </row>
    <row r="280">
      <c r="A280" s="154"/>
      <c r="B280" s="133"/>
      <c r="C280" s="155"/>
      <c r="D280" s="134"/>
      <c r="E280" s="82"/>
      <c r="F280" s="82"/>
      <c r="G280" s="82"/>
    </row>
    <row r="281">
      <c r="A281" s="154"/>
      <c r="B281" s="133"/>
      <c r="C281" s="155"/>
      <c r="D281" s="134"/>
      <c r="E281" s="82"/>
      <c r="F281" s="82"/>
      <c r="G281" s="82"/>
    </row>
    <row r="282">
      <c r="A282" s="154"/>
      <c r="B282" s="133"/>
      <c r="C282" s="155"/>
      <c r="D282" s="134"/>
      <c r="E282" s="82"/>
      <c r="F282" s="82"/>
      <c r="G282" s="82"/>
    </row>
    <row r="283">
      <c r="A283" s="154"/>
      <c r="B283" s="133"/>
      <c r="C283" s="155"/>
      <c r="D283" s="134"/>
      <c r="E283" s="82"/>
      <c r="F283" s="82"/>
      <c r="G283" s="82"/>
    </row>
    <row r="284">
      <c r="A284" s="154"/>
      <c r="B284" s="133"/>
      <c r="C284" s="155"/>
      <c r="D284" s="134"/>
      <c r="E284" s="82"/>
      <c r="F284" s="82"/>
      <c r="G284" s="82"/>
    </row>
    <row r="285">
      <c r="A285" s="154"/>
      <c r="B285" s="133"/>
      <c r="C285" s="155"/>
      <c r="D285" s="134"/>
      <c r="E285" s="82"/>
      <c r="F285" s="82"/>
      <c r="G285" s="82"/>
    </row>
    <row r="286">
      <c r="A286" s="154"/>
      <c r="B286" s="133"/>
      <c r="C286" s="155"/>
      <c r="D286" s="134"/>
      <c r="E286" s="82"/>
      <c r="F286" s="82"/>
      <c r="G286" s="82"/>
    </row>
    <row r="287">
      <c r="A287" s="154"/>
      <c r="B287" s="133"/>
      <c r="C287" s="155"/>
      <c r="D287" s="134"/>
      <c r="E287" s="82"/>
      <c r="F287" s="82"/>
      <c r="G287" s="82"/>
    </row>
    <row r="288">
      <c r="A288" s="154"/>
      <c r="B288" s="133"/>
      <c r="C288" s="155"/>
      <c r="D288" s="134"/>
      <c r="E288" s="82"/>
      <c r="F288" s="82"/>
      <c r="G288" s="82"/>
    </row>
    <row r="289">
      <c r="A289" s="154"/>
      <c r="B289" s="133"/>
      <c r="C289" s="155"/>
      <c r="D289" s="134"/>
      <c r="E289" s="82"/>
      <c r="F289" s="82"/>
      <c r="G289" s="82"/>
    </row>
    <row r="290">
      <c r="A290" s="154"/>
      <c r="B290" s="133"/>
      <c r="C290" s="155"/>
      <c r="D290" s="134"/>
      <c r="E290" s="82"/>
      <c r="F290" s="82"/>
      <c r="G290" s="82"/>
    </row>
    <row r="291">
      <c r="A291" s="154"/>
      <c r="B291" s="133"/>
      <c r="C291" s="155"/>
      <c r="D291" s="134"/>
      <c r="E291" s="82"/>
      <c r="F291" s="82"/>
      <c r="G291" s="82"/>
    </row>
    <row r="292">
      <c r="A292" s="154"/>
      <c r="B292" s="133"/>
      <c r="C292" s="155"/>
      <c r="D292" s="134"/>
      <c r="E292" s="82"/>
      <c r="F292" s="82"/>
      <c r="G292" s="82"/>
    </row>
    <row r="293">
      <c r="A293" s="154"/>
      <c r="B293" s="133"/>
      <c r="C293" s="155"/>
      <c r="D293" s="134"/>
      <c r="E293" s="82"/>
      <c r="F293" s="82"/>
      <c r="G293" s="82"/>
    </row>
    <row r="294">
      <c r="A294" s="154"/>
      <c r="B294" s="133"/>
      <c r="C294" s="155"/>
      <c r="D294" s="134"/>
      <c r="E294" s="82"/>
      <c r="F294" s="82"/>
      <c r="G294" s="82"/>
    </row>
    <row r="295">
      <c r="A295" s="154"/>
      <c r="B295" s="133"/>
      <c r="C295" s="155"/>
      <c r="D295" s="134"/>
      <c r="E295" s="82"/>
      <c r="F295" s="82"/>
      <c r="G295" s="82"/>
    </row>
    <row r="296">
      <c r="A296" s="154"/>
      <c r="B296" s="133"/>
      <c r="C296" s="155"/>
      <c r="D296" s="134"/>
      <c r="E296" s="82"/>
      <c r="F296" s="82"/>
      <c r="G296" s="82"/>
    </row>
    <row r="297">
      <c r="A297" s="154"/>
      <c r="B297" s="133"/>
      <c r="C297" s="155"/>
      <c r="D297" s="134"/>
      <c r="E297" s="82"/>
      <c r="F297" s="82"/>
      <c r="G297" s="82"/>
    </row>
    <row r="298">
      <c r="A298" s="154"/>
      <c r="B298" s="133"/>
      <c r="C298" s="155"/>
      <c r="D298" s="134"/>
      <c r="E298" s="82"/>
      <c r="F298" s="82"/>
      <c r="G298" s="82"/>
    </row>
    <row r="299">
      <c r="A299" s="154"/>
      <c r="B299" s="133"/>
      <c r="C299" s="155"/>
      <c r="D299" s="134"/>
      <c r="E299" s="82"/>
      <c r="F299" s="82"/>
      <c r="G299" s="82"/>
    </row>
    <row r="300">
      <c r="A300" s="154"/>
      <c r="B300" s="133"/>
      <c r="C300" s="155"/>
      <c r="D300" s="134"/>
      <c r="E300" s="82"/>
      <c r="F300" s="82"/>
      <c r="G300" s="82"/>
    </row>
    <row r="301">
      <c r="A301" s="154"/>
      <c r="B301" s="133"/>
      <c r="C301" s="155"/>
      <c r="D301" s="134"/>
      <c r="E301" s="82"/>
      <c r="F301" s="82"/>
      <c r="G301" s="82"/>
    </row>
    <row r="302">
      <c r="A302" s="154"/>
      <c r="B302" s="133"/>
      <c r="C302" s="155"/>
      <c r="D302" s="134"/>
      <c r="E302" s="82"/>
      <c r="F302" s="82"/>
      <c r="G302" s="82"/>
    </row>
    <row r="303">
      <c r="A303" s="154"/>
      <c r="B303" s="133"/>
      <c r="C303" s="155"/>
      <c r="D303" s="134"/>
      <c r="E303" s="82"/>
      <c r="F303" s="82"/>
      <c r="G303" s="82"/>
    </row>
    <row r="304">
      <c r="A304" s="154"/>
      <c r="B304" s="133"/>
      <c r="C304" s="155"/>
      <c r="D304" s="134"/>
      <c r="E304" s="82"/>
      <c r="F304" s="82"/>
      <c r="G304" s="82"/>
    </row>
    <row r="305">
      <c r="A305" s="154"/>
      <c r="B305" s="133"/>
      <c r="C305" s="155"/>
      <c r="D305" s="134"/>
      <c r="E305" s="82"/>
      <c r="F305" s="82"/>
      <c r="G305" s="82"/>
    </row>
    <row r="306">
      <c r="A306" s="154"/>
      <c r="B306" s="133"/>
      <c r="C306" s="155"/>
      <c r="D306" s="134"/>
      <c r="E306" s="82"/>
      <c r="F306" s="82"/>
      <c r="G306" s="82"/>
    </row>
    <row r="307">
      <c r="A307" s="154"/>
      <c r="B307" s="133"/>
      <c r="C307" s="155"/>
      <c r="D307" s="134"/>
      <c r="E307" s="82"/>
      <c r="F307" s="82"/>
      <c r="G307" s="82"/>
    </row>
    <row r="308">
      <c r="A308" s="154"/>
      <c r="B308" s="133"/>
      <c r="C308" s="155"/>
      <c r="D308" s="134"/>
      <c r="E308" s="82"/>
      <c r="F308" s="82"/>
      <c r="G308" s="82"/>
    </row>
    <row r="309">
      <c r="A309" s="154"/>
      <c r="B309" s="133"/>
      <c r="C309" s="155"/>
      <c r="D309" s="134"/>
      <c r="E309" s="82"/>
      <c r="F309" s="82"/>
      <c r="G309" s="82"/>
    </row>
    <row r="310">
      <c r="A310" s="154"/>
      <c r="B310" s="133"/>
      <c r="C310" s="155"/>
      <c r="D310" s="134"/>
      <c r="E310" s="82"/>
      <c r="F310" s="82"/>
      <c r="G310" s="82"/>
    </row>
    <row r="311">
      <c r="A311" s="154"/>
      <c r="B311" s="133"/>
      <c r="C311" s="155"/>
      <c r="D311" s="134"/>
      <c r="E311" s="82"/>
      <c r="F311" s="82"/>
      <c r="G311" s="82"/>
    </row>
    <row r="312">
      <c r="A312" s="154"/>
      <c r="B312" s="133"/>
      <c r="C312" s="155"/>
      <c r="D312" s="134"/>
      <c r="E312" s="82"/>
      <c r="F312" s="82"/>
      <c r="G312" s="82"/>
    </row>
    <row r="313">
      <c r="A313" s="154"/>
      <c r="B313" s="133"/>
      <c r="C313" s="155"/>
      <c r="D313" s="134"/>
      <c r="E313" s="82"/>
      <c r="F313" s="82"/>
      <c r="G313" s="82"/>
    </row>
    <row r="314">
      <c r="A314" s="154"/>
      <c r="B314" s="133"/>
      <c r="C314" s="155"/>
      <c r="D314" s="134"/>
      <c r="E314" s="82"/>
      <c r="F314" s="82"/>
      <c r="G314" s="82"/>
    </row>
    <row r="315">
      <c r="A315" s="154"/>
      <c r="B315" s="133"/>
      <c r="C315" s="155"/>
      <c r="D315" s="134"/>
      <c r="E315" s="82"/>
      <c r="F315" s="82"/>
      <c r="G315" s="82"/>
    </row>
    <row r="316">
      <c r="A316" s="154"/>
      <c r="B316" s="133"/>
      <c r="C316" s="155"/>
      <c r="D316" s="134"/>
      <c r="E316" s="82"/>
      <c r="F316" s="82"/>
      <c r="G316" s="82"/>
    </row>
    <row r="317">
      <c r="A317" s="154"/>
      <c r="B317" s="133"/>
      <c r="C317" s="155"/>
      <c r="D317" s="134"/>
      <c r="E317" s="82"/>
      <c r="F317" s="82"/>
      <c r="G317" s="82"/>
    </row>
    <row r="318">
      <c r="A318" s="154"/>
      <c r="B318" s="133"/>
      <c r="C318" s="155"/>
      <c r="D318" s="134"/>
      <c r="E318" s="82"/>
      <c r="F318" s="82"/>
      <c r="G318" s="82"/>
    </row>
    <row r="319">
      <c r="A319" s="154"/>
      <c r="B319" s="133"/>
      <c r="C319" s="155"/>
      <c r="D319" s="134"/>
      <c r="E319" s="82"/>
      <c r="F319" s="82"/>
      <c r="G319" s="82"/>
    </row>
    <row r="320">
      <c r="A320" s="154"/>
      <c r="B320" s="133"/>
      <c r="C320" s="155"/>
      <c r="D320" s="134"/>
      <c r="E320" s="82"/>
      <c r="F320" s="82"/>
      <c r="G320" s="82"/>
    </row>
    <row r="321">
      <c r="A321" s="154"/>
      <c r="B321" s="133"/>
      <c r="C321" s="155"/>
      <c r="D321" s="134"/>
      <c r="E321" s="82"/>
      <c r="F321" s="82"/>
      <c r="G321" s="82"/>
    </row>
    <row r="322">
      <c r="A322" s="154"/>
      <c r="B322" s="133"/>
      <c r="C322" s="155"/>
      <c r="D322" s="134"/>
      <c r="E322" s="82"/>
      <c r="F322" s="82"/>
      <c r="G322" s="82"/>
    </row>
    <row r="323">
      <c r="A323" s="154"/>
      <c r="B323" s="133"/>
      <c r="C323" s="155"/>
      <c r="D323" s="134"/>
      <c r="E323" s="82"/>
      <c r="F323" s="82"/>
      <c r="G323" s="82"/>
    </row>
    <row r="324">
      <c r="A324" s="154"/>
      <c r="B324" s="133"/>
      <c r="C324" s="155"/>
      <c r="D324" s="134"/>
      <c r="E324" s="82"/>
      <c r="F324" s="82"/>
      <c r="G324" s="82"/>
    </row>
    <row r="325">
      <c r="A325" s="154"/>
      <c r="B325" s="133"/>
      <c r="C325" s="155"/>
      <c r="D325" s="134"/>
      <c r="E325" s="82"/>
      <c r="F325" s="82"/>
      <c r="G325" s="82"/>
    </row>
    <row r="326">
      <c r="A326" s="154"/>
      <c r="B326" s="133"/>
      <c r="C326" s="155"/>
      <c r="D326" s="134"/>
      <c r="E326" s="82"/>
      <c r="F326" s="82"/>
      <c r="G326" s="82"/>
    </row>
    <row r="327">
      <c r="A327" s="154"/>
      <c r="B327" s="133"/>
      <c r="C327" s="155"/>
      <c r="D327" s="134"/>
      <c r="E327" s="82"/>
      <c r="F327" s="82"/>
      <c r="G327" s="82"/>
    </row>
    <row r="328">
      <c r="A328" s="154"/>
      <c r="B328" s="133"/>
      <c r="C328" s="155"/>
      <c r="D328" s="134"/>
      <c r="E328" s="82"/>
      <c r="F328" s="82"/>
      <c r="G328" s="82"/>
    </row>
    <row r="329">
      <c r="A329" s="154"/>
      <c r="B329" s="133"/>
      <c r="C329" s="155"/>
      <c r="D329" s="134"/>
      <c r="E329" s="82"/>
      <c r="F329" s="82"/>
      <c r="G329" s="82"/>
    </row>
    <row r="330">
      <c r="A330" s="154"/>
      <c r="B330" s="133"/>
      <c r="C330" s="155"/>
      <c r="D330" s="134"/>
      <c r="E330" s="82"/>
      <c r="F330" s="82"/>
      <c r="G330" s="82"/>
    </row>
    <row r="331">
      <c r="A331" s="154"/>
      <c r="B331" s="133"/>
      <c r="C331" s="155"/>
      <c r="D331" s="134"/>
      <c r="E331" s="82"/>
      <c r="F331" s="82"/>
      <c r="G331" s="82"/>
    </row>
    <row r="332">
      <c r="A332" s="154"/>
      <c r="B332" s="133"/>
      <c r="C332" s="155"/>
      <c r="D332" s="134"/>
      <c r="E332" s="82"/>
      <c r="F332" s="82"/>
      <c r="G332" s="82"/>
    </row>
    <row r="333">
      <c r="A333" s="154"/>
      <c r="B333" s="133"/>
      <c r="C333" s="155"/>
      <c r="D333" s="134"/>
      <c r="E333" s="82"/>
      <c r="F333" s="82"/>
      <c r="G333" s="82"/>
    </row>
    <row r="334">
      <c r="A334" s="154"/>
      <c r="B334" s="133"/>
      <c r="C334" s="155"/>
      <c r="D334" s="134"/>
      <c r="E334" s="82"/>
      <c r="F334" s="82"/>
      <c r="G334" s="82"/>
    </row>
    <row r="335">
      <c r="A335" s="154"/>
      <c r="B335" s="133"/>
      <c r="C335" s="155"/>
      <c r="D335" s="134"/>
      <c r="E335" s="82"/>
      <c r="F335" s="82"/>
      <c r="G335" s="82"/>
    </row>
    <row r="336">
      <c r="A336" s="154"/>
      <c r="B336" s="133"/>
      <c r="C336" s="155"/>
      <c r="D336" s="134"/>
      <c r="E336" s="82"/>
      <c r="F336" s="82"/>
      <c r="G336" s="82"/>
    </row>
    <row r="337">
      <c r="A337" s="154"/>
      <c r="B337" s="133"/>
      <c r="C337" s="155"/>
      <c r="D337" s="134"/>
      <c r="E337" s="82"/>
      <c r="F337" s="82"/>
      <c r="G337" s="82"/>
    </row>
    <row r="338">
      <c r="A338" s="154"/>
      <c r="B338" s="133"/>
      <c r="C338" s="155"/>
      <c r="D338" s="134"/>
      <c r="E338" s="82"/>
      <c r="F338" s="82"/>
      <c r="G338" s="82"/>
    </row>
    <row r="339">
      <c r="A339" s="154"/>
      <c r="B339" s="133"/>
      <c r="C339" s="155"/>
      <c r="D339" s="134"/>
      <c r="E339" s="82"/>
      <c r="F339" s="82"/>
      <c r="G339" s="82"/>
    </row>
    <row r="340">
      <c r="A340" s="154"/>
      <c r="B340" s="133"/>
      <c r="C340" s="155"/>
      <c r="D340" s="134"/>
      <c r="E340" s="82"/>
      <c r="F340" s="82"/>
      <c r="G340" s="82"/>
    </row>
    <row r="341">
      <c r="A341" s="154"/>
      <c r="B341" s="133"/>
      <c r="C341" s="155"/>
      <c r="D341" s="134"/>
      <c r="E341" s="82"/>
      <c r="F341" s="82"/>
      <c r="G341" s="82"/>
    </row>
    <row r="342">
      <c r="A342" s="154"/>
      <c r="B342" s="133"/>
      <c r="C342" s="155"/>
      <c r="D342" s="134"/>
      <c r="E342" s="82"/>
      <c r="F342" s="82"/>
      <c r="G342" s="82"/>
    </row>
    <row r="343">
      <c r="A343" s="154"/>
      <c r="B343" s="133"/>
      <c r="C343" s="155"/>
      <c r="D343" s="134"/>
      <c r="E343" s="82"/>
      <c r="F343" s="82"/>
      <c r="G343" s="82"/>
    </row>
    <row r="344">
      <c r="A344" s="154"/>
      <c r="B344" s="133"/>
      <c r="C344" s="155"/>
      <c r="D344" s="134"/>
      <c r="E344" s="82"/>
      <c r="F344" s="82"/>
      <c r="G344" s="82"/>
    </row>
    <row r="345">
      <c r="A345" s="154"/>
      <c r="B345" s="133"/>
      <c r="C345" s="155"/>
      <c r="D345" s="134"/>
      <c r="E345" s="82"/>
      <c r="F345" s="82"/>
      <c r="G345" s="82"/>
    </row>
    <row r="346">
      <c r="A346" s="154"/>
      <c r="B346" s="133"/>
      <c r="C346" s="155"/>
      <c r="D346" s="134"/>
      <c r="E346" s="82"/>
      <c r="F346" s="82"/>
      <c r="G346" s="82"/>
    </row>
    <row r="347">
      <c r="A347" s="154"/>
      <c r="B347" s="133"/>
      <c r="C347" s="155"/>
      <c r="D347" s="134"/>
      <c r="E347" s="82"/>
      <c r="F347" s="82"/>
      <c r="G347" s="82"/>
    </row>
    <row r="348">
      <c r="A348" s="154"/>
      <c r="B348" s="133"/>
      <c r="C348" s="155"/>
      <c r="D348" s="134"/>
      <c r="E348" s="82"/>
      <c r="F348" s="82"/>
      <c r="G348" s="82"/>
    </row>
    <row r="349">
      <c r="A349" s="154"/>
      <c r="B349" s="133"/>
      <c r="C349" s="155"/>
      <c r="D349" s="134"/>
      <c r="E349" s="82"/>
      <c r="F349" s="82"/>
      <c r="G349" s="82"/>
    </row>
    <row r="350">
      <c r="A350" s="154"/>
      <c r="B350" s="133"/>
      <c r="C350" s="155"/>
      <c r="D350" s="134"/>
      <c r="E350" s="82"/>
      <c r="F350" s="82"/>
      <c r="G350" s="82"/>
    </row>
    <row r="351">
      <c r="A351" s="154"/>
      <c r="B351" s="133"/>
      <c r="C351" s="155"/>
      <c r="D351" s="134"/>
      <c r="E351" s="82"/>
      <c r="F351" s="82"/>
      <c r="G351" s="82"/>
    </row>
    <row r="352">
      <c r="A352" s="154"/>
      <c r="B352" s="133"/>
      <c r="C352" s="155"/>
      <c r="D352" s="134"/>
      <c r="E352" s="82"/>
      <c r="F352" s="82"/>
      <c r="G352" s="82"/>
    </row>
    <row r="353">
      <c r="A353" s="154"/>
      <c r="B353" s="133"/>
      <c r="C353" s="155"/>
      <c r="D353" s="134"/>
      <c r="E353" s="82"/>
      <c r="F353" s="82"/>
      <c r="G353" s="82"/>
    </row>
    <row r="354">
      <c r="A354" s="154"/>
      <c r="B354" s="133"/>
      <c r="C354" s="155"/>
      <c r="D354" s="134"/>
      <c r="E354" s="82"/>
      <c r="F354" s="82"/>
      <c r="G354" s="82"/>
    </row>
    <row r="355">
      <c r="A355" s="154"/>
      <c r="B355" s="133"/>
      <c r="C355" s="155"/>
      <c r="D355" s="134"/>
      <c r="E355" s="82"/>
      <c r="F355" s="82"/>
      <c r="G355" s="82"/>
    </row>
    <row r="356">
      <c r="A356" s="154"/>
      <c r="B356" s="133"/>
      <c r="C356" s="155"/>
      <c r="D356" s="134"/>
      <c r="E356" s="82"/>
      <c r="F356" s="82"/>
      <c r="G356" s="82"/>
    </row>
    <row r="357">
      <c r="A357" s="154"/>
      <c r="B357" s="133"/>
      <c r="C357" s="155"/>
      <c r="D357" s="134"/>
      <c r="E357" s="82"/>
      <c r="F357" s="82"/>
      <c r="G357" s="82"/>
    </row>
    <row r="358">
      <c r="A358" s="154"/>
      <c r="B358" s="133"/>
      <c r="C358" s="155"/>
      <c r="D358" s="134"/>
      <c r="E358" s="82"/>
      <c r="F358" s="82"/>
      <c r="G358" s="82"/>
    </row>
    <row r="359">
      <c r="A359" s="154"/>
      <c r="B359" s="133"/>
      <c r="C359" s="155"/>
      <c r="D359" s="134"/>
      <c r="E359" s="82"/>
      <c r="F359" s="82"/>
      <c r="G359" s="82"/>
    </row>
    <row r="360">
      <c r="A360" s="154"/>
      <c r="B360" s="133"/>
      <c r="C360" s="155"/>
      <c r="D360" s="134"/>
      <c r="E360" s="82"/>
      <c r="F360" s="82"/>
      <c r="G360" s="82"/>
    </row>
    <row r="361">
      <c r="A361" s="154"/>
      <c r="B361" s="133"/>
      <c r="C361" s="155"/>
      <c r="D361" s="134"/>
      <c r="E361" s="82"/>
      <c r="F361" s="82"/>
      <c r="G361" s="82"/>
    </row>
    <row r="362">
      <c r="A362" s="154"/>
      <c r="B362" s="133"/>
      <c r="C362" s="155"/>
      <c r="D362" s="134"/>
      <c r="E362" s="82"/>
      <c r="F362" s="82"/>
      <c r="G362" s="82"/>
    </row>
    <row r="363">
      <c r="A363" s="154"/>
      <c r="B363" s="133"/>
      <c r="C363" s="155"/>
      <c r="D363" s="134"/>
      <c r="E363" s="82"/>
      <c r="F363" s="82"/>
      <c r="G363" s="82"/>
    </row>
    <row r="364">
      <c r="A364" s="154"/>
      <c r="B364" s="133"/>
      <c r="C364" s="155"/>
      <c r="D364" s="134"/>
      <c r="E364" s="82"/>
      <c r="F364" s="82"/>
      <c r="G364" s="82"/>
    </row>
    <row r="365">
      <c r="A365" s="154"/>
      <c r="B365" s="133"/>
      <c r="C365" s="155"/>
      <c r="D365" s="134"/>
      <c r="E365" s="82"/>
      <c r="F365" s="82"/>
      <c r="G365" s="82"/>
    </row>
    <row r="366">
      <c r="A366" s="154"/>
      <c r="B366" s="133"/>
      <c r="C366" s="155"/>
      <c r="D366" s="134"/>
      <c r="E366" s="82"/>
      <c r="F366" s="82"/>
      <c r="G366" s="82"/>
    </row>
    <row r="367">
      <c r="A367" s="154"/>
      <c r="B367" s="133"/>
      <c r="C367" s="155"/>
      <c r="D367" s="134"/>
      <c r="E367" s="82"/>
      <c r="F367" s="82"/>
      <c r="G367" s="82"/>
    </row>
    <row r="368">
      <c r="A368" s="154"/>
      <c r="B368" s="133"/>
      <c r="C368" s="155"/>
      <c r="D368" s="134"/>
      <c r="E368" s="82"/>
      <c r="F368" s="82"/>
      <c r="G368" s="82"/>
    </row>
    <row r="369">
      <c r="A369" s="154"/>
      <c r="B369" s="133"/>
      <c r="C369" s="155"/>
      <c r="D369" s="134"/>
      <c r="E369" s="82"/>
      <c r="F369" s="82"/>
      <c r="G369" s="82"/>
    </row>
    <row r="370">
      <c r="A370" s="154"/>
      <c r="B370" s="133"/>
      <c r="C370" s="155"/>
      <c r="D370" s="134"/>
      <c r="E370" s="82"/>
      <c r="F370" s="82"/>
      <c r="G370" s="82"/>
    </row>
    <row r="371">
      <c r="A371" s="154"/>
      <c r="B371" s="133"/>
      <c r="C371" s="155"/>
      <c r="D371" s="134"/>
      <c r="E371" s="82"/>
      <c r="F371" s="82"/>
      <c r="G371" s="82"/>
    </row>
    <row r="372">
      <c r="A372" s="154"/>
      <c r="B372" s="133"/>
      <c r="C372" s="155"/>
      <c r="D372" s="134"/>
      <c r="E372" s="82"/>
      <c r="F372" s="82"/>
      <c r="G372" s="82"/>
    </row>
    <row r="373">
      <c r="A373" s="154"/>
      <c r="B373" s="133"/>
      <c r="C373" s="155"/>
      <c r="D373" s="134"/>
      <c r="E373" s="82"/>
      <c r="F373" s="82"/>
      <c r="G373" s="82"/>
    </row>
    <row r="374">
      <c r="A374" s="154"/>
      <c r="B374" s="133"/>
      <c r="C374" s="155"/>
      <c r="D374" s="134"/>
      <c r="E374" s="82"/>
      <c r="F374" s="82"/>
      <c r="G374" s="82"/>
    </row>
    <row r="375">
      <c r="A375" s="154"/>
      <c r="B375" s="133"/>
      <c r="C375" s="155"/>
      <c r="D375" s="134"/>
      <c r="E375" s="82"/>
      <c r="F375" s="82"/>
      <c r="G375" s="82"/>
    </row>
    <row r="376">
      <c r="A376" s="154"/>
      <c r="B376" s="133"/>
      <c r="C376" s="155"/>
      <c r="D376" s="134"/>
      <c r="E376" s="82"/>
      <c r="F376" s="82"/>
      <c r="G376" s="82"/>
    </row>
    <row r="377">
      <c r="A377" s="154"/>
      <c r="B377" s="133"/>
      <c r="C377" s="155"/>
      <c r="D377" s="134"/>
      <c r="E377" s="82"/>
      <c r="F377" s="82"/>
      <c r="G377" s="82"/>
    </row>
    <row r="378">
      <c r="A378" s="154"/>
      <c r="B378" s="133"/>
      <c r="C378" s="155"/>
      <c r="D378" s="134"/>
      <c r="E378" s="82"/>
      <c r="F378" s="82"/>
      <c r="G378" s="82"/>
    </row>
    <row r="379">
      <c r="A379" s="154"/>
      <c r="B379" s="133"/>
      <c r="C379" s="155"/>
      <c r="D379" s="134"/>
      <c r="E379" s="82"/>
      <c r="F379" s="82"/>
      <c r="G379" s="82"/>
    </row>
    <row r="380">
      <c r="A380" s="154"/>
      <c r="B380" s="133"/>
      <c r="C380" s="155"/>
      <c r="D380" s="134"/>
      <c r="E380" s="82"/>
      <c r="F380" s="82"/>
      <c r="G380" s="82"/>
    </row>
    <row r="381">
      <c r="A381" s="154"/>
      <c r="B381" s="133"/>
      <c r="C381" s="155"/>
      <c r="D381" s="134"/>
      <c r="E381" s="82"/>
      <c r="F381" s="82"/>
      <c r="G381" s="82"/>
    </row>
    <row r="382">
      <c r="A382" s="154"/>
      <c r="B382" s="133"/>
      <c r="C382" s="155"/>
      <c r="D382" s="134"/>
      <c r="E382" s="82"/>
      <c r="F382" s="82"/>
      <c r="G382" s="82"/>
    </row>
    <row r="383">
      <c r="A383" s="154"/>
      <c r="B383" s="133"/>
      <c r="C383" s="155"/>
      <c r="D383" s="134"/>
      <c r="E383" s="82"/>
      <c r="F383" s="82"/>
      <c r="G383" s="82"/>
    </row>
    <row r="384">
      <c r="A384" s="154"/>
      <c r="B384" s="133"/>
      <c r="C384" s="155"/>
      <c r="D384" s="134"/>
      <c r="E384" s="82"/>
      <c r="F384" s="82"/>
      <c r="G384" s="82"/>
    </row>
    <row r="385">
      <c r="A385" s="154"/>
      <c r="B385" s="133"/>
      <c r="C385" s="155"/>
      <c r="D385" s="134"/>
      <c r="E385" s="82"/>
      <c r="F385" s="82"/>
      <c r="G385" s="82"/>
    </row>
    <row r="386">
      <c r="A386" s="154"/>
      <c r="B386" s="133"/>
      <c r="C386" s="155"/>
      <c r="D386" s="134"/>
      <c r="E386" s="82"/>
      <c r="F386" s="82"/>
      <c r="G386" s="82"/>
    </row>
    <row r="387">
      <c r="A387" s="154"/>
      <c r="B387" s="133"/>
      <c r="C387" s="155"/>
      <c r="D387" s="134"/>
      <c r="E387" s="82"/>
      <c r="F387" s="82"/>
      <c r="G387" s="82"/>
    </row>
    <row r="388">
      <c r="A388" s="154"/>
      <c r="B388" s="133"/>
      <c r="C388" s="155"/>
      <c r="D388" s="134"/>
      <c r="E388" s="82"/>
      <c r="F388" s="82"/>
      <c r="G388" s="82"/>
    </row>
    <row r="389">
      <c r="A389" s="154"/>
      <c r="B389" s="133"/>
      <c r="C389" s="155"/>
      <c r="D389" s="134"/>
      <c r="E389" s="82"/>
      <c r="F389" s="82"/>
      <c r="G389" s="82"/>
    </row>
    <row r="390">
      <c r="A390" s="154"/>
      <c r="B390" s="133"/>
      <c r="C390" s="155"/>
      <c r="D390" s="134"/>
      <c r="E390" s="82"/>
      <c r="F390" s="82"/>
      <c r="G390" s="82"/>
    </row>
    <row r="391">
      <c r="A391" s="154"/>
      <c r="B391" s="133"/>
      <c r="C391" s="155"/>
      <c r="D391" s="134"/>
      <c r="E391" s="82"/>
      <c r="F391" s="82"/>
      <c r="G391" s="82"/>
    </row>
    <row r="392">
      <c r="A392" s="154"/>
      <c r="B392" s="133"/>
      <c r="C392" s="155"/>
      <c r="D392" s="134"/>
      <c r="E392" s="82"/>
      <c r="F392" s="82"/>
      <c r="G392" s="82"/>
    </row>
    <row r="393">
      <c r="A393" s="154"/>
      <c r="B393" s="133"/>
      <c r="C393" s="155"/>
      <c r="D393" s="134"/>
      <c r="E393" s="82"/>
      <c r="F393" s="82"/>
      <c r="G393" s="82"/>
    </row>
    <row r="394">
      <c r="A394" s="154"/>
      <c r="B394" s="133"/>
      <c r="C394" s="155"/>
      <c r="D394" s="134"/>
      <c r="E394" s="82"/>
      <c r="F394" s="82"/>
      <c r="G394" s="82"/>
    </row>
    <row r="395">
      <c r="A395" s="154"/>
      <c r="B395" s="133"/>
      <c r="C395" s="155"/>
      <c r="D395" s="134"/>
      <c r="E395" s="82"/>
      <c r="F395" s="82"/>
      <c r="G395" s="82"/>
    </row>
    <row r="396">
      <c r="A396" s="154"/>
      <c r="B396" s="133"/>
      <c r="C396" s="155"/>
      <c r="D396" s="134"/>
      <c r="E396" s="82"/>
      <c r="F396" s="82"/>
      <c r="G396" s="82"/>
    </row>
    <row r="397">
      <c r="A397" s="154"/>
      <c r="B397" s="133"/>
      <c r="C397" s="155"/>
      <c r="D397" s="134"/>
      <c r="E397" s="82"/>
      <c r="F397" s="82"/>
      <c r="G397" s="82"/>
    </row>
    <row r="398">
      <c r="A398" s="154"/>
      <c r="B398" s="133"/>
      <c r="C398" s="155"/>
      <c r="D398" s="134"/>
      <c r="E398" s="82"/>
      <c r="F398" s="82"/>
      <c r="G398" s="82"/>
    </row>
    <row r="399">
      <c r="A399" s="154"/>
      <c r="B399" s="133"/>
      <c r="C399" s="155"/>
      <c r="D399" s="134"/>
      <c r="E399" s="82"/>
      <c r="F399" s="82"/>
      <c r="G399" s="82"/>
    </row>
    <row r="400">
      <c r="A400" s="154"/>
      <c r="B400" s="133"/>
      <c r="C400" s="155"/>
      <c r="D400" s="134"/>
      <c r="E400" s="82"/>
      <c r="F400" s="82"/>
      <c r="G400" s="82"/>
    </row>
    <row r="401">
      <c r="A401" s="154"/>
      <c r="B401" s="133"/>
      <c r="C401" s="155"/>
      <c r="D401" s="134"/>
      <c r="E401" s="82"/>
      <c r="F401" s="82"/>
      <c r="G401" s="82"/>
    </row>
    <row r="402">
      <c r="A402" s="154"/>
      <c r="B402" s="133"/>
      <c r="C402" s="155"/>
      <c r="D402" s="134"/>
      <c r="E402" s="82"/>
      <c r="F402" s="82"/>
      <c r="G402" s="82"/>
    </row>
    <row r="403">
      <c r="A403" s="154"/>
      <c r="B403" s="133"/>
      <c r="C403" s="155"/>
      <c r="D403" s="134"/>
      <c r="E403" s="82"/>
      <c r="F403" s="82"/>
      <c r="G403" s="82"/>
    </row>
    <row r="404">
      <c r="A404" s="154"/>
      <c r="B404" s="133"/>
      <c r="C404" s="155"/>
      <c r="D404" s="134"/>
      <c r="E404" s="82"/>
      <c r="F404" s="82"/>
      <c r="G404" s="82"/>
    </row>
    <row r="405">
      <c r="A405" s="154"/>
      <c r="B405" s="133"/>
      <c r="C405" s="155"/>
      <c r="D405" s="134"/>
      <c r="E405" s="82"/>
      <c r="F405" s="82"/>
      <c r="G405" s="82"/>
    </row>
    <row r="406">
      <c r="A406" s="154"/>
      <c r="B406" s="133"/>
      <c r="C406" s="155"/>
      <c r="D406" s="134"/>
      <c r="E406" s="82"/>
      <c r="F406" s="82"/>
      <c r="G406" s="82"/>
    </row>
    <row r="407">
      <c r="A407" s="154"/>
      <c r="B407" s="133"/>
      <c r="C407" s="155"/>
      <c r="D407" s="134"/>
      <c r="E407" s="82"/>
      <c r="F407" s="82"/>
      <c r="G407" s="82"/>
    </row>
    <row r="408">
      <c r="A408" s="154"/>
      <c r="B408" s="133"/>
      <c r="C408" s="155"/>
      <c r="D408" s="134"/>
      <c r="E408" s="82"/>
      <c r="F408" s="82"/>
      <c r="G408" s="82"/>
    </row>
    <row r="409">
      <c r="A409" s="154"/>
      <c r="B409" s="133"/>
      <c r="C409" s="155"/>
      <c r="D409" s="134"/>
      <c r="E409" s="82"/>
      <c r="F409" s="82"/>
      <c r="G409" s="82"/>
    </row>
    <row r="410">
      <c r="A410" s="154"/>
      <c r="B410" s="133"/>
      <c r="C410" s="155"/>
      <c r="D410" s="134"/>
      <c r="E410" s="82"/>
      <c r="F410" s="82"/>
      <c r="G410" s="82"/>
    </row>
    <row r="411">
      <c r="A411" s="154"/>
      <c r="B411" s="133"/>
      <c r="C411" s="155"/>
      <c r="D411" s="134"/>
      <c r="E411" s="82"/>
      <c r="F411" s="82"/>
      <c r="G411" s="82"/>
    </row>
    <row r="412">
      <c r="A412" s="154"/>
      <c r="B412" s="133"/>
      <c r="C412" s="155"/>
      <c r="D412" s="134"/>
      <c r="E412" s="82"/>
      <c r="F412" s="82"/>
      <c r="G412" s="82"/>
    </row>
    <row r="413">
      <c r="A413" s="154"/>
      <c r="B413" s="133"/>
      <c r="C413" s="155"/>
      <c r="D413" s="134"/>
      <c r="E413" s="82"/>
      <c r="F413" s="82"/>
      <c r="G413" s="82"/>
    </row>
    <row r="414">
      <c r="A414" s="154"/>
      <c r="B414" s="133"/>
      <c r="C414" s="155"/>
      <c r="D414" s="134"/>
      <c r="E414" s="82"/>
      <c r="F414" s="82"/>
      <c r="G414" s="82"/>
    </row>
    <row r="415">
      <c r="A415" s="154"/>
      <c r="B415" s="133"/>
      <c r="C415" s="155"/>
      <c r="D415" s="134"/>
      <c r="E415" s="82"/>
      <c r="F415" s="82"/>
      <c r="G415" s="82"/>
    </row>
    <row r="416">
      <c r="A416" s="154"/>
      <c r="B416" s="133"/>
      <c r="C416" s="155"/>
      <c r="D416" s="134"/>
      <c r="E416" s="82"/>
      <c r="F416" s="82"/>
      <c r="G416" s="82"/>
    </row>
    <row r="417">
      <c r="A417" s="154"/>
      <c r="B417" s="133"/>
      <c r="C417" s="155"/>
      <c r="D417" s="134"/>
      <c r="E417" s="82"/>
      <c r="F417" s="82"/>
      <c r="G417" s="82"/>
    </row>
    <row r="418">
      <c r="A418" s="154"/>
      <c r="B418" s="133"/>
      <c r="C418" s="155"/>
      <c r="D418" s="134"/>
      <c r="E418" s="82"/>
      <c r="F418" s="82"/>
      <c r="G418" s="82"/>
    </row>
    <row r="419">
      <c r="A419" s="154"/>
      <c r="B419" s="133"/>
      <c r="C419" s="155"/>
      <c r="D419" s="134"/>
      <c r="E419" s="82"/>
      <c r="F419" s="82"/>
      <c r="G419" s="82"/>
    </row>
    <row r="420">
      <c r="A420" s="154"/>
      <c r="B420" s="133"/>
      <c r="C420" s="155"/>
      <c r="D420" s="134"/>
      <c r="E420" s="82"/>
      <c r="F420" s="82"/>
      <c r="G420" s="82"/>
    </row>
    <row r="421">
      <c r="A421" s="154"/>
      <c r="B421" s="133"/>
      <c r="C421" s="155"/>
      <c r="D421" s="134"/>
      <c r="E421" s="82"/>
      <c r="F421" s="82"/>
      <c r="G421" s="82"/>
    </row>
    <row r="422">
      <c r="A422" s="154"/>
      <c r="B422" s="133"/>
      <c r="C422" s="155"/>
      <c r="D422" s="134"/>
      <c r="E422" s="82"/>
      <c r="F422" s="82"/>
      <c r="G422" s="82"/>
    </row>
    <row r="423">
      <c r="A423" s="154"/>
      <c r="B423" s="133"/>
      <c r="C423" s="155"/>
      <c r="D423" s="134"/>
      <c r="E423" s="82"/>
      <c r="F423" s="82"/>
      <c r="G423" s="82"/>
    </row>
    <row r="424">
      <c r="A424" s="154"/>
      <c r="B424" s="133"/>
      <c r="C424" s="155"/>
      <c r="D424" s="134"/>
      <c r="E424" s="82"/>
      <c r="F424" s="82"/>
      <c r="G424" s="82"/>
    </row>
    <row r="425">
      <c r="A425" s="154"/>
      <c r="B425" s="133"/>
      <c r="C425" s="155"/>
      <c r="D425" s="134"/>
      <c r="E425" s="82"/>
      <c r="F425" s="82"/>
      <c r="G425" s="82"/>
    </row>
    <row r="426">
      <c r="A426" s="154"/>
      <c r="B426" s="133"/>
      <c r="C426" s="155"/>
      <c r="D426" s="134"/>
      <c r="E426" s="82"/>
      <c r="F426" s="82"/>
      <c r="G426" s="82"/>
    </row>
    <row r="427">
      <c r="A427" s="154"/>
      <c r="B427" s="133"/>
      <c r="C427" s="155"/>
      <c r="D427" s="134"/>
      <c r="E427" s="82"/>
      <c r="F427" s="82"/>
      <c r="G427" s="82"/>
    </row>
    <row r="428">
      <c r="A428" s="154"/>
      <c r="B428" s="133"/>
      <c r="C428" s="155"/>
      <c r="D428" s="134"/>
      <c r="E428" s="82"/>
      <c r="F428" s="82"/>
      <c r="G428" s="82"/>
    </row>
    <row r="429">
      <c r="A429" s="154"/>
      <c r="B429" s="133"/>
      <c r="C429" s="155"/>
      <c r="D429" s="134"/>
      <c r="E429" s="82"/>
      <c r="F429" s="82"/>
      <c r="G429" s="82"/>
    </row>
    <row r="430">
      <c r="A430" s="154"/>
      <c r="B430" s="133"/>
      <c r="C430" s="155"/>
      <c r="D430" s="134"/>
      <c r="E430" s="82"/>
      <c r="F430" s="82"/>
      <c r="G430" s="82"/>
    </row>
    <row r="431">
      <c r="A431" s="154"/>
      <c r="B431" s="133"/>
      <c r="C431" s="155"/>
      <c r="D431" s="134"/>
      <c r="E431" s="82"/>
      <c r="F431" s="82"/>
      <c r="G431" s="82"/>
    </row>
    <row r="432">
      <c r="A432" s="154"/>
      <c r="B432" s="133"/>
      <c r="C432" s="155"/>
      <c r="D432" s="134"/>
      <c r="E432" s="82"/>
      <c r="F432" s="82"/>
      <c r="G432" s="82"/>
    </row>
    <row r="433">
      <c r="A433" s="154"/>
      <c r="B433" s="133"/>
      <c r="C433" s="155"/>
      <c r="D433" s="134"/>
      <c r="E433" s="82"/>
      <c r="F433" s="82"/>
      <c r="G433" s="82"/>
    </row>
    <row r="434">
      <c r="A434" s="154"/>
      <c r="B434" s="133"/>
      <c r="C434" s="155"/>
      <c r="D434" s="134"/>
      <c r="E434" s="82"/>
      <c r="F434" s="82"/>
      <c r="G434" s="82"/>
    </row>
    <row r="435">
      <c r="A435" s="154"/>
      <c r="B435" s="133"/>
      <c r="C435" s="155"/>
      <c r="D435" s="134"/>
      <c r="E435" s="82"/>
      <c r="F435" s="82"/>
      <c r="G435" s="82"/>
    </row>
    <row r="436">
      <c r="A436" s="154"/>
      <c r="B436" s="133"/>
      <c r="C436" s="155"/>
      <c r="D436" s="134"/>
      <c r="E436" s="82"/>
      <c r="F436" s="82"/>
      <c r="G436" s="82"/>
    </row>
    <row r="437">
      <c r="A437" s="154"/>
      <c r="B437" s="133"/>
      <c r="C437" s="155"/>
      <c r="D437" s="134"/>
      <c r="E437" s="82"/>
      <c r="F437" s="82"/>
      <c r="G437" s="82"/>
    </row>
    <row r="438">
      <c r="A438" s="154"/>
      <c r="B438" s="133"/>
      <c r="C438" s="155"/>
      <c r="D438" s="134"/>
      <c r="E438" s="82"/>
      <c r="F438" s="82"/>
      <c r="G438" s="82"/>
    </row>
    <row r="439">
      <c r="A439" s="154"/>
      <c r="B439" s="133"/>
      <c r="C439" s="155"/>
      <c r="D439" s="134"/>
      <c r="E439" s="82"/>
      <c r="F439" s="82"/>
      <c r="G439" s="82"/>
    </row>
    <row r="440">
      <c r="A440" s="154"/>
      <c r="B440" s="133"/>
      <c r="C440" s="155"/>
      <c r="D440" s="134"/>
      <c r="E440" s="82"/>
      <c r="F440" s="82"/>
      <c r="G440" s="82"/>
    </row>
    <row r="441">
      <c r="A441" s="154"/>
      <c r="B441" s="133"/>
      <c r="C441" s="155"/>
      <c r="D441" s="134"/>
      <c r="E441" s="82"/>
      <c r="F441" s="82"/>
      <c r="G441" s="82"/>
    </row>
    <row r="442">
      <c r="A442" s="154"/>
      <c r="B442" s="133"/>
      <c r="C442" s="155"/>
      <c r="D442" s="134"/>
      <c r="E442" s="82"/>
      <c r="F442" s="82"/>
      <c r="G442" s="82"/>
    </row>
    <row r="443">
      <c r="A443" s="154"/>
      <c r="B443" s="133"/>
      <c r="C443" s="155"/>
      <c r="D443" s="134"/>
      <c r="E443" s="82"/>
      <c r="F443" s="82"/>
      <c r="G443" s="82"/>
    </row>
    <row r="444">
      <c r="A444" s="154"/>
      <c r="B444" s="133"/>
      <c r="C444" s="155"/>
      <c r="D444" s="134"/>
      <c r="E444" s="82"/>
      <c r="F444" s="82"/>
      <c r="G444" s="82"/>
    </row>
    <row r="445">
      <c r="A445" s="154"/>
      <c r="B445" s="133"/>
      <c r="C445" s="155"/>
      <c r="D445" s="134"/>
      <c r="E445" s="82"/>
      <c r="F445" s="82"/>
      <c r="G445" s="82"/>
    </row>
    <row r="446">
      <c r="A446" s="154"/>
      <c r="B446" s="133"/>
      <c r="C446" s="155"/>
      <c r="D446" s="134"/>
      <c r="E446" s="82"/>
      <c r="F446" s="82"/>
      <c r="G446" s="82"/>
    </row>
    <row r="447">
      <c r="A447" s="154"/>
      <c r="B447" s="133"/>
      <c r="C447" s="155"/>
      <c r="D447" s="134"/>
      <c r="E447" s="82"/>
      <c r="F447" s="82"/>
      <c r="G447" s="82"/>
    </row>
    <row r="448">
      <c r="A448" s="154"/>
      <c r="B448" s="133"/>
      <c r="C448" s="155"/>
      <c r="D448" s="134"/>
      <c r="E448" s="82"/>
      <c r="F448" s="82"/>
      <c r="G448" s="82"/>
    </row>
    <row r="449">
      <c r="A449" s="154"/>
      <c r="B449" s="133"/>
      <c r="C449" s="155"/>
      <c r="D449" s="134"/>
      <c r="E449" s="82"/>
      <c r="F449" s="82"/>
      <c r="G449" s="82"/>
    </row>
    <row r="450">
      <c r="A450" s="154"/>
      <c r="B450" s="133"/>
      <c r="C450" s="155"/>
      <c r="D450" s="134"/>
      <c r="E450" s="82"/>
      <c r="F450" s="82"/>
      <c r="G450" s="82"/>
    </row>
    <row r="451">
      <c r="A451" s="154"/>
      <c r="B451" s="133"/>
      <c r="C451" s="155"/>
      <c r="D451" s="134"/>
      <c r="E451" s="82"/>
      <c r="F451" s="82"/>
      <c r="G451" s="82"/>
    </row>
    <row r="452">
      <c r="A452" s="154"/>
      <c r="B452" s="133"/>
      <c r="C452" s="155"/>
      <c r="D452" s="134"/>
      <c r="E452" s="82"/>
      <c r="F452" s="82"/>
      <c r="G452" s="82"/>
    </row>
    <row r="453">
      <c r="A453" s="154"/>
      <c r="B453" s="133"/>
      <c r="C453" s="155"/>
      <c r="D453" s="134"/>
      <c r="E453" s="82"/>
      <c r="F453" s="82"/>
      <c r="G453" s="82"/>
    </row>
    <row r="454">
      <c r="A454" s="154"/>
      <c r="B454" s="133"/>
      <c r="C454" s="155"/>
      <c r="D454" s="134"/>
      <c r="E454" s="82"/>
      <c r="F454" s="82"/>
      <c r="G454" s="82"/>
    </row>
    <row r="455">
      <c r="A455" s="154"/>
      <c r="B455" s="133"/>
      <c r="C455" s="155"/>
      <c r="D455" s="134"/>
      <c r="E455" s="82"/>
      <c r="F455" s="82"/>
      <c r="G455" s="82"/>
    </row>
    <row r="456">
      <c r="A456" s="154"/>
      <c r="B456" s="133"/>
      <c r="C456" s="155"/>
      <c r="D456" s="134"/>
      <c r="E456" s="82"/>
      <c r="F456" s="82"/>
      <c r="G456" s="82"/>
    </row>
    <row r="457">
      <c r="A457" s="154"/>
      <c r="B457" s="133"/>
      <c r="C457" s="155"/>
      <c r="D457" s="134"/>
      <c r="E457" s="82"/>
      <c r="F457" s="82"/>
      <c r="G457" s="82"/>
    </row>
    <row r="458">
      <c r="A458" s="154"/>
      <c r="B458" s="133"/>
      <c r="C458" s="155"/>
      <c r="D458" s="134"/>
      <c r="E458" s="82"/>
      <c r="F458" s="82"/>
      <c r="G458" s="82"/>
    </row>
    <row r="459">
      <c r="A459" s="154"/>
      <c r="B459" s="133"/>
      <c r="C459" s="155"/>
      <c r="D459" s="134"/>
      <c r="E459" s="82"/>
      <c r="F459" s="82"/>
      <c r="G459" s="82"/>
    </row>
    <row r="460">
      <c r="A460" s="154"/>
      <c r="B460" s="133"/>
      <c r="C460" s="155"/>
      <c r="D460" s="134"/>
      <c r="E460" s="82"/>
      <c r="F460" s="82"/>
      <c r="G460" s="82"/>
    </row>
    <row r="461">
      <c r="A461" s="154"/>
      <c r="B461" s="133"/>
      <c r="C461" s="155"/>
      <c r="D461" s="134"/>
      <c r="E461" s="82"/>
      <c r="F461" s="82"/>
      <c r="G461" s="82"/>
    </row>
    <row r="462">
      <c r="A462" s="154"/>
      <c r="B462" s="133"/>
      <c r="C462" s="155"/>
      <c r="D462" s="134"/>
      <c r="E462" s="82"/>
      <c r="F462" s="82"/>
      <c r="G462" s="82"/>
    </row>
    <row r="463">
      <c r="A463" s="154"/>
      <c r="B463" s="133"/>
      <c r="C463" s="155"/>
      <c r="D463" s="134"/>
      <c r="E463" s="82"/>
      <c r="F463" s="82"/>
      <c r="G463" s="82"/>
    </row>
    <row r="464">
      <c r="A464" s="154"/>
      <c r="B464" s="133"/>
      <c r="C464" s="155"/>
      <c r="D464" s="134"/>
      <c r="E464" s="82"/>
      <c r="F464" s="82"/>
      <c r="G464" s="82"/>
    </row>
    <row r="465">
      <c r="A465" s="154"/>
      <c r="B465" s="133"/>
      <c r="C465" s="155"/>
      <c r="D465" s="134"/>
      <c r="E465" s="82"/>
      <c r="F465" s="82"/>
      <c r="G465" s="82"/>
    </row>
    <row r="466">
      <c r="A466" s="154"/>
      <c r="B466" s="133"/>
      <c r="C466" s="155"/>
      <c r="D466" s="134"/>
      <c r="E466" s="82"/>
      <c r="F466" s="82"/>
      <c r="G466" s="82"/>
    </row>
    <row r="467">
      <c r="A467" s="154"/>
      <c r="B467" s="133"/>
      <c r="C467" s="155"/>
      <c r="D467" s="134"/>
      <c r="E467" s="82"/>
      <c r="F467" s="82"/>
      <c r="G467" s="82"/>
    </row>
    <row r="468">
      <c r="A468" s="154"/>
      <c r="B468" s="133"/>
      <c r="C468" s="155"/>
      <c r="D468" s="134"/>
      <c r="E468" s="82"/>
      <c r="F468" s="82"/>
      <c r="G468" s="82"/>
    </row>
    <row r="469">
      <c r="A469" s="154"/>
      <c r="B469" s="133"/>
      <c r="C469" s="155"/>
      <c r="D469" s="134"/>
      <c r="E469" s="82"/>
      <c r="F469" s="82"/>
      <c r="G469" s="82"/>
    </row>
    <row r="470">
      <c r="A470" s="154"/>
      <c r="B470" s="133"/>
      <c r="C470" s="155"/>
      <c r="D470" s="134"/>
      <c r="E470" s="82"/>
      <c r="F470" s="82"/>
      <c r="G470" s="82"/>
    </row>
    <row r="471">
      <c r="A471" s="154"/>
      <c r="B471" s="133"/>
      <c r="C471" s="155"/>
      <c r="D471" s="134"/>
      <c r="E471" s="82"/>
      <c r="F471" s="82"/>
      <c r="G471" s="82"/>
    </row>
    <row r="472">
      <c r="A472" s="154"/>
      <c r="B472" s="133"/>
      <c r="C472" s="155"/>
      <c r="D472" s="134"/>
      <c r="E472" s="82"/>
      <c r="F472" s="82"/>
      <c r="G472" s="82"/>
    </row>
    <row r="473">
      <c r="A473" s="154"/>
      <c r="B473" s="133"/>
      <c r="C473" s="155"/>
      <c r="D473" s="134"/>
      <c r="E473" s="82"/>
      <c r="F473" s="82"/>
      <c r="G473" s="82"/>
    </row>
    <row r="474">
      <c r="A474" s="154"/>
      <c r="B474" s="133"/>
      <c r="C474" s="155"/>
      <c r="D474" s="134"/>
      <c r="E474" s="82"/>
      <c r="F474" s="82"/>
      <c r="G474" s="82"/>
    </row>
    <row r="475">
      <c r="A475" s="154"/>
      <c r="B475" s="133"/>
      <c r="C475" s="155"/>
      <c r="D475" s="134"/>
      <c r="E475" s="82"/>
      <c r="F475" s="82"/>
      <c r="G475" s="82"/>
    </row>
    <row r="476">
      <c r="A476" s="154"/>
      <c r="B476" s="133"/>
      <c r="C476" s="155"/>
      <c r="D476" s="134"/>
      <c r="E476" s="82"/>
      <c r="F476" s="82"/>
      <c r="G476" s="82"/>
    </row>
    <row r="477">
      <c r="A477" s="154"/>
      <c r="B477" s="133"/>
      <c r="C477" s="155"/>
      <c r="D477" s="134"/>
      <c r="E477" s="82"/>
      <c r="F477" s="82"/>
      <c r="G477" s="82"/>
    </row>
    <row r="478">
      <c r="A478" s="154"/>
      <c r="B478" s="133"/>
      <c r="C478" s="155"/>
      <c r="D478" s="134"/>
      <c r="E478" s="82"/>
      <c r="F478" s="82"/>
      <c r="G478" s="82"/>
    </row>
    <row r="479">
      <c r="A479" s="154"/>
      <c r="B479" s="133"/>
      <c r="C479" s="155"/>
      <c r="D479" s="134"/>
      <c r="E479" s="82"/>
      <c r="F479" s="82"/>
      <c r="G479" s="82"/>
    </row>
    <row r="480">
      <c r="A480" s="154"/>
      <c r="B480" s="133"/>
      <c r="C480" s="155"/>
      <c r="D480" s="134"/>
      <c r="E480" s="82"/>
      <c r="F480" s="82"/>
      <c r="G480" s="82"/>
    </row>
    <row r="481">
      <c r="A481" s="154"/>
      <c r="B481" s="133"/>
      <c r="C481" s="155"/>
      <c r="D481" s="134"/>
      <c r="E481" s="82"/>
      <c r="F481" s="82"/>
      <c r="G481" s="82"/>
    </row>
    <row r="482">
      <c r="A482" s="154"/>
      <c r="B482" s="133"/>
      <c r="C482" s="155"/>
      <c r="D482" s="134"/>
      <c r="E482" s="82"/>
      <c r="F482" s="82"/>
      <c r="G482" s="82"/>
    </row>
    <row r="483">
      <c r="A483" s="154"/>
      <c r="B483" s="133"/>
      <c r="C483" s="155"/>
      <c r="D483" s="134"/>
      <c r="E483" s="82"/>
      <c r="F483" s="82"/>
      <c r="G483" s="82"/>
    </row>
    <row r="484">
      <c r="A484" s="154"/>
      <c r="B484" s="133"/>
      <c r="C484" s="155"/>
      <c r="D484" s="134"/>
      <c r="E484" s="82"/>
      <c r="F484" s="82"/>
      <c r="G484" s="82"/>
    </row>
    <row r="485">
      <c r="A485" s="154"/>
      <c r="B485" s="133"/>
      <c r="C485" s="155"/>
      <c r="D485" s="134"/>
      <c r="E485" s="82"/>
      <c r="F485" s="82"/>
      <c r="G485" s="82"/>
    </row>
    <row r="486">
      <c r="A486" s="154"/>
      <c r="B486" s="133"/>
      <c r="C486" s="155"/>
      <c r="D486" s="134"/>
      <c r="E486" s="82"/>
      <c r="F486" s="82"/>
      <c r="G486" s="82"/>
    </row>
    <row r="487">
      <c r="A487" s="154"/>
      <c r="B487" s="133"/>
      <c r="C487" s="155"/>
      <c r="D487" s="134"/>
      <c r="E487" s="82"/>
      <c r="F487" s="82"/>
      <c r="G487" s="82"/>
    </row>
    <row r="488">
      <c r="A488" s="154"/>
      <c r="B488" s="133"/>
      <c r="C488" s="155"/>
      <c r="D488" s="134"/>
      <c r="E488" s="82"/>
      <c r="F488" s="82"/>
      <c r="G488" s="82"/>
    </row>
    <row r="489">
      <c r="A489" s="154"/>
      <c r="B489" s="133"/>
      <c r="C489" s="155"/>
      <c r="D489" s="134"/>
      <c r="E489" s="82"/>
      <c r="F489" s="82"/>
      <c r="G489" s="82"/>
    </row>
    <row r="490">
      <c r="A490" s="154"/>
      <c r="B490" s="133"/>
      <c r="C490" s="155"/>
      <c r="D490" s="134"/>
      <c r="E490" s="82"/>
      <c r="F490" s="82"/>
      <c r="G490" s="82"/>
    </row>
    <row r="491">
      <c r="A491" s="154"/>
      <c r="B491" s="133"/>
      <c r="C491" s="155"/>
      <c r="D491" s="134"/>
      <c r="E491" s="82"/>
      <c r="F491" s="82"/>
      <c r="G491" s="82"/>
    </row>
    <row r="492">
      <c r="A492" s="154"/>
      <c r="B492" s="133"/>
      <c r="C492" s="155"/>
      <c r="D492" s="134"/>
      <c r="E492" s="82"/>
      <c r="F492" s="82"/>
      <c r="G492" s="82"/>
    </row>
    <row r="493">
      <c r="A493" s="154"/>
      <c r="B493" s="133"/>
      <c r="C493" s="155"/>
      <c r="D493" s="134"/>
      <c r="E493" s="82"/>
      <c r="F493" s="82"/>
      <c r="G493" s="82"/>
    </row>
    <row r="494">
      <c r="A494" s="154"/>
      <c r="B494" s="133"/>
      <c r="C494" s="155"/>
      <c r="D494" s="134"/>
      <c r="E494" s="82"/>
      <c r="F494" s="82"/>
      <c r="G494" s="82"/>
    </row>
    <row r="495">
      <c r="A495" s="154"/>
      <c r="B495" s="133"/>
      <c r="C495" s="155"/>
      <c r="D495" s="134"/>
      <c r="E495" s="82"/>
      <c r="F495" s="82"/>
      <c r="G495" s="82"/>
    </row>
    <row r="496">
      <c r="A496" s="154"/>
      <c r="B496" s="133"/>
      <c r="C496" s="155"/>
      <c r="D496" s="134"/>
      <c r="E496" s="82"/>
      <c r="F496" s="82"/>
      <c r="G496" s="82"/>
    </row>
    <row r="497">
      <c r="A497" s="154"/>
      <c r="B497" s="133"/>
      <c r="C497" s="155"/>
      <c r="D497" s="134"/>
      <c r="E497" s="82"/>
      <c r="F497" s="82"/>
      <c r="G497" s="82"/>
    </row>
    <row r="498">
      <c r="A498" s="154"/>
      <c r="B498" s="133"/>
      <c r="C498" s="155"/>
      <c r="D498" s="134"/>
      <c r="E498" s="82"/>
      <c r="F498" s="82"/>
      <c r="G498" s="82"/>
    </row>
    <row r="499">
      <c r="A499" s="154"/>
      <c r="B499" s="133"/>
      <c r="C499" s="155"/>
      <c r="D499" s="134"/>
      <c r="E499" s="82"/>
      <c r="F499" s="82"/>
      <c r="G499" s="82"/>
    </row>
    <row r="500">
      <c r="A500" s="154"/>
      <c r="B500" s="133"/>
      <c r="C500" s="155"/>
      <c r="D500" s="134"/>
      <c r="E500" s="82"/>
      <c r="F500" s="82"/>
      <c r="G500" s="82"/>
    </row>
    <row r="501">
      <c r="A501" s="154"/>
      <c r="B501" s="133"/>
      <c r="C501" s="155"/>
      <c r="D501" s="134"/>
      <c r="E501" s="82"/>
      <c r="F501" s="82"/>
      <c r="G501" s="82"/>
    </row>
    <row r="502">
      <c r="A502" s="154"/>
      <c r="B502" s="133"/>
      <c r="C502" s="155"/>
      <c r="D502" s="134"/>
      <c r="E502" s="82"/>
      <c r="F502" s="82"/>
      <c r="G502" s="82"/>
    </row>
    <row r="503">
      <c r="A503" s="154"/>
      <c r="B503" s="133"/>
      <c r="C503" s="155"/>
      <c r="D503" s="134"/>
      <c r="E503" s="82"/>
      <c r="F503" s="82"/>
      <c r="G503" s="82"/>
    </row>
    <row r="504">
      <c r="A504" s="154"/>
      <c r="B504" s="133"/>
      <c r="C504" s="155"/>
      <c r="D504" s="134"/>
      <c r="E504" s="82"/>
      <c r="F504" s="82"/>
      <c r="G504" s="82"/>
    </row>
    <row r="505">
      <c r="A505" s="154"/>
      <c r="B505" s="133"/>
      <c r="C505" s="155"/>
      <c r="D505" s="134"/>
      <c r="E505" s="82"/>
      <c r="F505" s="82"/>
      <c r="G505" s="82"/>
    </row>
    <row r="506">
      <c r="A506" s="154"/>
      <c r="B506" s="133"/>
      <c r="C506" s="155"/>
      <c r="D506" s="134"/>
      <c r="E506" s="82"/>
      <c r="F506" s="82"/>
      <c r="G506" s="82"/>
    </row>
    <row r="507">
      <c r="A507" s="154"/>
      <c r="B507" s="133"/>
      <c r="C507" s="155"/>
      <c r="D507" s="134"/>
      <c r="E507" s="82"/>
      <c r="F507" s="82"/>
      <c r="G507" s="82"/>
    </row>
    <row r="508">
      <c r="A508" s="154"/>
      <c r="B508" s="133"/>
      <c r="C508" s="155"/>
      <c r="D508" s="134"/>
      <c r="E508" s="82"/>
      <c r="F508" s="82"/>
      <c r="G508" s="82"/>
    </row>
    <row r="509">
      <c r="A509" s="154"/>
      <c r="B509" s="133"/>
      <c r="C509" s="155"/>
      <c r="D509" s="134"/>
      <c r="E509" s="82"/>
      <c r="F509" s="82"/>
      <c r="G509" s="82"/>
    </row>
    <row r="510">
      <c r="A510" s="154"/>
      <c r="B510" s="133"/>
      <c r="C510" s="155"/>
      <c r="D510" s="134"/>
      <c r="E510" s="82"/>
      <c r="F510" s="82"/>
      <c r="G510" s="82"/>
    </row>
    <row r="511">
      <c r="A511" s="154"/>
      <c r="B511" s="133"/>
      <c r="C511" s="155"/>
      <c r="D511" s="134"/>
      <c r="E511" s="82"/>
      <c r="F511" s="82"/>
      <c r="G511" s="82"/>
    </row>
    <row r="512">
      <c r="A512" s="154"/>
      <c r="B512" s="133"/>
      <c r="C512" s="155"/>
      <c r="D512" s="134"/>
      <c r="E512" s="82"/>
      <c r="F512" s="82"/>
      <c r="G512" s="82"/>
    </row>
    <row r="513">
      <c r="A513" s="154"/>
      <c r="B513" s="133"/>
      <c r="C513" s="155"/>
      <c r="D513" s="134"/>
      <c r="E513" s="82"/>
      <c r="F513" s="82"/>
      <c r="G513" s="82"/>
    </row>
    <row r="514">
      <c r="A514" s="154"/>
      <c r="B514" s="133"/>
      <c r="C514" s="155"/>
      <c r="D514" s="134"/>
      <c r="E514" s="82"/>
      <c r="F514" s="82"/>
      <c r="G514" s="82"/>
    </row>
    <row r="515">
      <c r="A515" s="154"/>
      <c r="B515" s="133"/>
      <c r="C515" s="155"/>
      <c r="D515" s="134"/>
      <c r="E515" s="82"/>
      <c r="F515" s="82"/>
      <c r="G515" s="82"/>
    </row>
    <row r="516">
      <c r="A516" s="154"/>
      <c r="B516" s="133"/>
      <c r="C516" s="155"/>
      <c r="D516" s="134"/>
      <c r="E516" s="82"/>
      <c r="F516" s="82"/>
      <c r="G516" s="82"/>
    </row>
    <row r="517">
      <c r="A517" s="154"/>
      <c r="B517" s="133"/>
      <c r="C517" s="155"/>
      <c r="D517" s="134"/>
      <c r="E517" s="82"/>
      <c r="F517" s="82"/>
      <c r="G517" s="82"/>
    </row>
    <row r="518">
      <c r="A518" s="154"/>
      <c r="B518" s="133"/>
      <c r="C518" s="155"/>
      <c r="D518" s="134"/>
      <c r="E518" s="82"/>
      <c r="F518" s="82"/>
      <c r="G518" s="82"/>
    </row>
    <row r="519">
      <c r="A519" s="154"/>
      <c r="B519" s="133"/>
      <c r="C519" s="155"/>
      <c r="D519" s="134"/>
      <c r="E519" s="82"/>
      <c r="F519" s="82"/>
      <c r="G519" s="82"/>
    </row>
    <row r="520">
      <c r="A520" s="154"/>
      <c r="B520" s="133"/>
      <c r="C520" s="155"/>
      <c r="D520" s="134"/>
      <c r="E520" s="82"/>
      <c r="F520" s="82"/>
      <c r="G520" s="82"/>
    </row>
    <row r="521">
      <c r="A521" s="154"/>
      <c r="B521" s="133"/>
      <c r="C521" s="155"/>
      <c r="D521" s="134"/>
      <c r="E521" s="82"/>
      <c r="F521" s="82"/>
      <c r="G521" s="82"/>
    </row>
    <row r="522">
      <c r="A522" s="154"/>
      <c r="B522" s="133"/>
      <c r="C522" s="155"/>
      <c r="D522" s="134"/>
      <c r="E522" s="82"/>
      <c r="F522" s="82"/>
      <c r="G522" s="82"/>
    </row>
    <row r="523">
      <c r="A523" s="154"/>
      <c r="B523" s="133"/>
      <c r="C523" s="155"/>
      <c r="D523" s="134"/>
      <c r="E523" s="82"/>
      <c r="F523" s="82"/>
      <c r="G523" s="82"/>
    </row>
    <row r="524">
      <c r="A524" s="154"/>
      <c r="B524" s="133"/>
      <c r="C524" s="155"/>
      <c r="D524" s="134"/>
      <c r="E524" s="82"/>
      <c r="F524" s="82"/>
      <c r="G524" s="82"/>
    </row>
    <row r="525">
      <c r="A525" s="154"/>
      <c r="B525" s="133"/>
      <c r="C525" s="155"/>
      <c r="D525" s="134"/>
      <c r="E525" s="82"/>
      <c r="F525" s="82"/>
      <c r="G525" s="82"/>
    </row>
    <row r="526">
      <c r="A526" s="154"/>
      <c r="B526" s="133"/>
      <c r="C526" s="155"/>
      <c r="D526" s="134"/>
      <c r="E526" s="82"/>
      <c r="F526" s="82"/>
      <c r="G526" s="82"/>
    </row>
    <row r="527">
      <c r="A527" s="154"/>
      <c r="B527" s="133"/>
      <c r="C527" s="155"/>
      <c r="D527" s="134"/>
      <c r="E527" s="82"/>
      <c r="F527" s="82"/>
      <c r="G527" s="82"/>
    </row>
    <row r="528">
      <c r="A528" s="154"/>
      <c r="B528" s="133"/>
      <c r="C528" s="155"/>
      <c r="D528" s="134"/>
      <c r="E528" s="82"/>
      <c r="F528" s="82"/>
      <c r="G528" s="82"/>
    </row>
    <row r="529">
      <c r="A529" s="154"/>
      <c r="B529" s="133"/>
      <c r="C529" s="155"/>
      <c r="D529" s="134"/>
      <c r="E529" s="82"/>
      <c r="F529" s="82"/>
      <c r="G529" s="82"/>
    </row>
    <row r="530">
      <c r="A530" s="154"/>
      <c r="B530" s="133"/>
      <c r="C530" s="155"/>
      <c r="D530" s="134"/>
      <c r="E530" s="82"/>
      <c r="F530" s="82"/>
      <c r="G530" s="82"/>
    </row>
    <row r="531">
      <c r="A531" s="154"/>
      <c r="B531" s="133"/>
      <c r="C531" s="155"/>
      <c r="D531" s="134"/>
      <c r="E531" s="82"/>
      <c r="F531" s="82"/>
      <c r="G531" s="82"/>
    </row>
    <row r="532">
      <c r="A532" s="154"/>
      <c r="B532" s="133"/>
      <c r="C532" s="155"/>
      <c r="D532" s="134"/>
      <c r="E532" s="82"/>
      <c r="F532" s="82"/>
      <c r="G532" s="82"/>
    </row>
    <row r="533">
      <c r="A533" s="154"/>
      <c r="B533" s="133"/>
      <c r="C533" s="155"/>
      <c r="D533" s="134"/>
      <c r="E533" s="82"/>
      <c r="F533" s="82"/>
      <c r="G533" s="82"/>
    </row>
    <row r="534">
      <c r="A534" s="154"/>
      <c r="B534" s="133"/>
      <c r="C534" s="155"/>
      <c r="D534" s="134"/>
      <c r="E534" s="82"/>
      <c r="F534" s="82"/>
      <c r="G534" s="82"/>
    </row>
    <row r="535">
      <c r="A535" s="154"/>
      <c r="B535" s="133"/>
      <c r="C535" s="155"/>
      <c r="D535" s="134"/>
      <c r="E535" s="82"/>
      <c r="F535" s="82"/>
      <c r="G535" s="82"/>
    </row>
    <row r="536">
      <c r="A536" s="154"/>
      <c r="B536" s="133"/>
      <c r="C536" s="155"/>
      <c r="D536" s="134"/>
      <c r="E536" s="82"/>
      <c r="F536" s="82"/>
      <c r="G536" s="82"/>
    </row>
    <row r="537">
      <c r="A537" s="154"/>
      <c r="B537" s="133"/>
      <c r="C537" s="155"/>
      <c r="D537" s="134"/>
      <c r="E537" s="82"/>
      <c r="F537" s="82"/>
      <c r="G537" s="82"/>
    </row>
    <row r="538">
      <c r="A538" s="154"/>
      <c r="B538" s="133"/>
      <c r="C538" s="155"/>
      <c r="D538" s="134"/>
      <c r="E538" s="82"/>
      <c r="F538" s="82"/>
      <c r="G538" s="82"/>
    </row>
    <row r="539">
      <c r="A539" s="154"/>
      <c r="B539" s="133"/>
      <c r="C539" s="155"/>
      <c r="D539" s="134"/>
      <c r="E539" s="82"/>
      <c r="F539" s="82"/>
      <c r="G539" s="82"/>
    </row>
    <row r="540">
      <c r="A540" s="154"/>
      <c r="B540" s="133"/>
      <c r="C540" s="155"/>
      <c r="D540" s="134"/>
      <c r="E540" s="82"/>
      <c r="F540" s="82"/>
      <c r="G540" s="82"/>
    </row>
    <row r="541">
      <c r="A541" s="154"/>
      <c r="B541" s="133"/>
      <c r="C541" s="155"/>
      <c r="D541" s="134"/>
      <c r="E541" s="82"/>
      <c r="F541" s="82"/>
      <c r="G541" s="82"/>
    </row>
    <row r="542">
      <c r="A542" s="154"/>
      <c r="B542" s="133"/>
      <c r="C542" s="155"/>
      <c r="D542" s="134"/>
      <c r="E542" s="82"/>
      <c r="F542" s="82"/>
      <c r="G542" s="82"/>
    </row>
    <row r="543">
      <c r="A543" s="154"/>
      <c r="B543" s="133"/>
      <c r="C543" s="155"/>
      <c r="D543" s="134"/>
      <c r="E543" s="82"/>
      <c r="F543" s="82"/>
      <c r="G543" s="82"/>
    </row>
    <row r="544">
      <c r="A544" s="154"/>
      <c r="B544" s="133"/>
      <c r="C544" s="155"/>
      <c r="D544" s="134"/>
      <c r="E544" s="82"/>
      <c r="F544" s="82"/>
      <c r="G544" s="82"/>
    </row>
    <row r="545">
      <c r="A545" s="154"/>
      <c r="B545" s="133"/>
      <c r="C545" s="155"/>
      <c r="D545" s="134"/>
      <c r="E545" s="82"/>
      <c r="F545" s="82"/>
      <c r="G545" s="82"/>
    </row>
    <row r="546">
      <c r="A546" s="154"/>
      <c r="B546" s="133"/>
      <c r="C546" s="155"/>
      <c r="D546" s="134"/>
      <c r="E546" s="82"/>
      <c r="F546" s="82"/>
      <c r="G546" s="82"/>
    </row>
    <row r="547">
      <c r="A547" s="154"/>
      <c r="B547" s="133"/>
      <c r="C547" s="155"/>
      <c r="D547" s="134"/>
      <c r="E547" s="82"/>
      <c r="F547" s="82"/>
      <c r="G547" s="82"/>
    </row>
    <row r="548">
      <c r="A548" s="154"/>
      <c r="B548" s="133"/>
      <c r="C548" s="155"/>
      <c r="D548" s="134"/>
      <c r="E548" s="82"/>
      <c r="F548" s="82"/>
      <c r="G548" s="82"/>
    </row>
    <row r="549">
      <c r="A549" s="154"/>
      <c r="B549" s="133"/>
      <c r="C549" s="155"/>
      <c r="D549" s="134"/>
      <c r="E549" s="82"/>
      <c r="F549" s="82"/>
      <c r="G549" s="82"/>
    </row>
    <row r="550">
      <c r="A550" s="154"/>
      <c r="B550" s="133"/>
      <c r="C550" s="155"/>
      <c r="D550" s="134"/>
      <c r="E550" s="82"/>
      <c r="F550" s="82"/>
      <c r="G550" s="82"/>
    </row>
    <row r="551">
      <c r="A551" s="154"/>
      <c r="B551" s="133"/>
      <c r="C551" s="155"/>
      <c r="D551" s="134"/>
      <c r="E551" s="82"/>
      <c r="F551" s="82"/>
      <c r="G551" s="82"/>
    </row>
    <row r="552">
      <c r="A552" s="154"/>
      <c r="B552" s="133"/>
      <c r="C552" s="155"/>
      <c r="D552" s="134"/>
      <c r="E552" s="82"/>
      <c r="F552" s="82"/>
      <c r="G552" s="82"/>
    </row>
    <row r="553">
      <c r="A553" s="154"/>
      <c r="B553" s="133"/>
      <c r="C553" s="155"/>
      <c r="D553" s="134"/>
      <c r="E553" s="82"/>
      <c r="F553" s="82"/>
      <c r="G553" s="82"/>
    </row>
    <row r="554">
      <c r="A554" s="154"/>
      <c r="B554" s="133"/>
      <c r="C554" s="155"/>
      <c r="D554" s="134"/>
      <c r="E554" s="82"/>
      <c r="F554" s="82"/>
      <c r="G554" s="82"/>
    </row>
    <row r="555">
      <c r="A555" s="154"/>
      <c r="B555" s="133"/>
      <c r="C555" s="155"/>
      <c r="D555" s="134"/>
      <c r="E555" s="82"/>
      <c r="F555" s="82"/>
      <c r="G555" s="82"/>
    </row>
    <row r="556">
      <c r="A556" s="154"/>
      <c r="B556" s="133"/>
      <c r="C556" s="155"/>
      <c r="D556" s="134"/>
      <c r="E556" s="82"/>
      <c r="F556" s="82"/>
      <c r="G556" s="82"/>
    </row>
    <row r="557">
      <c r="A557" s="154"/>
      <c r="B557" s="133"/>
      <c r="C557" s="155"/>
      <c r="D557" s="134"/>
      <c r="E557" s="82"/>
      <c r="F557" s="82"/>
      <c r="G557" s="82"/>
    </row>
    <row r="558">
      <c r="A558" s="154"/>
      <c r="B558" s="133"/>
      <c r="C558" s="155"/>
      <c r="D558" s="134"/>
      <c r="E558" s="82"/>
      <c r="F558" s="82"/>
      <c r="G558" s="82"/>
    </row>
    <row r="559">
      <c r="A559" s="154"/>
      <c r="B559" s="133"/>
      <c r="C559" s="155"/>
      <c r="D559" s="134"/>
      <c r="E559" s="82"/>
      <c r="F559" s="82"/>
      <c r="G559" s="82"/>
    </row>
    <row r="560">
      <c r="A560" s="154"/>
      <c r="B560" s="133"/>
      <c r="C560" s="155"/>
      <c r="D560" s="134"/>
      <c r="E560" s="82"/>
      <c r="F560" s="82"/>
      <c r="G560" s="82"/>
    </row>
    <row r="561">
      <c r="A561" s="154"/>
      <c r="B561" s="133"/>
      <c r="C561" s="155"/>
      <c r="D561" s="134"/>
      <c r="E561" s="82"/>
      <c r="F561" s="82"/>
      <c r="G561" s="82"/>
    </row>
    <row r="562">
      <c r="A562" s="154"/>
      <c r="B562" s="133"/>
      <c r="C562" s="155"/>
      <c r="D562" s="134"/>
      <c r="E562" s="82"/>
      <c r="F562" s="82"/>
      <c r="G562" s="82"/>
    </row>
    <row r="563">
      <c r="A563" s="154"/>
      <c r="B563" s="133"/>
      <c r="C563" s="155"/>
      <c r="D563" s="134"/>
      <c r="E563" s="82"/>
      <c r="F563" s="82"/>
      <c r="G563" s="82"/>
    </row>
    <row r="564">
      <c r="A564" s="154"/>
      <c r="B564" s="133"/>
      <c r="C564" s="155"/>
      <c r="D564" s="134"/>
      <c r="E564" s="82"/>
      <c r="F564" s="82"/>
      <c r="G564" s="82"/>
    </row>
    <row r="565">
      <c r="A565" s="154"/>
      <c r="B565" s="133"/>
      <c r="C565" s="155"/>
      <c r="D565" s="134"/>
      <c r="E565" s="82"/>
      <c r="F565" s="82"/>
      <c r="G565" s="82"/>
    </row>
    <row r="566">
      <c r="A566" s="154"/>
      <c r="B566" s="133"/>
      <c r="C566" s="155"/>
      <c r="D566" s="134"/>
      <c r="E566" s="82"/>
      <c r="F566" s="82"/>
      <c r="G566" s="82"/>
    </row>
    <row r="567">
      <c r="A567" s="154"/>
      <c r="B567" s="133"/>
      <c r="C567" s="155"/>
      <c r="D567" s="134"/>
      <c r="E567" s="82"/>
      <c r="F567" s="82"/>
      <c r="G567" s="82"/>
    </row>
    <row r="568">
      <c r="A568" s="154"/>
      <c r="B568" s="133"/>
      <c r="C568" s="155"/>
      <c r="D568" s="134"/>
      <c r="E568" s="82"/>
      <c r="F568" s="82"/>
      <c r="G568" s="82"/>
    </row>
    <row r="569">
      <c r="A569" s="154"/>
      <c r="B569" s="133"/>
      <c r="C569" s="155"/>
      <c r="D569" s="134"/>
      <c r="E569" s="82"/>
      <c r="F569" s="82"/>
      <c r="G569" s="82"/>
    </row>
    <row r="570">
      <c r="A570" s="154"/>
      <c r="B570" s="133"/>
      <c r="C570" s="155"/>
      <c r="D570" s="134"/>
      <c r="E570" s="82"/>
      <c r="F570" s="82"/>
      <c r="G570" s="82"/>
    </row>
    <row r="571">
      <c r="A571" s="154"/>
      <c r="B571" s="133"/>
      <c r="C571" s="155"/>
      <c r="D571" s="134"/>
      <c r="E571" s="82"/>
      <c r="F571" s="82"/>
      <c r="G571" s="82"/>
    </row>
    <row r="572">
      <c r="A572" s="154"/>
      <c r="B572" s="133"/>
      <c r="C572" s="155"/>
      <c r="D572" s="134"/>
      <c r="E572" s="82"/>
      <c r="F572" s="82"/>
      <c r="G572" s="82"/>
    </row>
    <row r="573">
      <c r="A573" s="154"/>
      <c r="B573" s="133"/>
      <c r="C573" s="155"/>
      <c r="D573" s="134"/>
      <c r="E573" s="82"/>
      <c r="F573" s="82"/>
      <c r="G573" s="82"/>
    </row>
    <row r="574">
      <c r="A574" s="154"/>
      <c r="B574" s="133"/>
      <c r="C574" s="155"/>
      <c r="D574" s="134"/>
      <c r="E574" s="82"/>
      <c r="F574" s="82"/>
      <c r="G574" s="82"/>
    </row>
    <row r="575">
      <c r="A575" s="154"/>
      <c r="B575" s="133"/>
      <c r="C575" s="155"/>
      <c r="D575" s="134"/>
      <c r="E575" s="82"/>
      <c r="F575" s="82"/>
      <c r="G575" s="82"/>
    </row>
    <row r="576">
      <c r="A576" s="154"/>
      <c r="B576" s="133"/>
      <c r="C576" s="155"/>
      <c r="D576" s="134"/>
      <c r="E576" s="82"/>
      <c r="F576" s="82"/>
      <c r="G576" s="82"/>
    </row>
    <row r="577">
      <c r="A577" s="154"/>
      <c r="B577" s="133"/>
      <c r="C577" s="155"/>
      <c r="D577" s="134"/>
      <c r="E577" s="82"/>
      <c r="F577" s="82"/>
      <c r="G577" s="82"/>
    </row>
    <row r="578">
      <c r="A578" s="154"/>
      <c r="B578" s="133"/>
      <c r="C578" s="155"/>
      <c r="D578" s="134"/>
      <c r="E578" s="82"/>
      <c r="F578" s="82"/>
      <c r="G578" s="82"/>
    </row>
    <row r="579">
      <c r="A579" s="154"/>
      <c r="B579" s="133"/>
      <c r="C579" s="155"/>
      <c r="D579" s="134"/>
      <c r="E579" s="82"/>
      <c r="F579" s="82"/>
      <c r="G579" s="82"/>
    </row>
    <row r="580">
      <c r="A580" s="154"/>
      <c r="B580" s="133"/>
      <c r="C580" s="155"/>
      <c r="D580" s="134"/>
      <c r="E580" s="82"/>
      <c r="F580" s="82"/>
      <c r="G580" s="82"/>
    </row>
    <row r="581">
      <c r="A581" s="154"/>
      <c r="B581" s="133"/>
      <c r="C581" s="155"/>
      <c r="D581" s="134"/>
      <c r="E581" s="82"/>
      <c r="F581" s="82"/>
      <c r="G581" s="82"/>
    </row>
    <row r="582">
      <c r="A582" s="154"/>
      <c r="B582" s="133"/>
      <c r="C582" s="155"/>
      <c r="D582" s="134"/>
      <c r="E582" s="82"/>
      <c r="F582" s="82"/>
      <c r="G582" s="82"/>
    </row>
    <row r="583">
      <c r="A583" s="154"/>
      <c r="B583" s="133"/>
      <c r="C583" s="155"/>
      <c r="D583" s="134"/>
      <c r="E583" s="82"/>
      <c r="F583" s="82"/>
      <c r="G583" s="82"/>
    </row>
    <row r="584">
      <c r="A584" s="154"/>
      <c r="B584" s="133"/>
      <c r="C584" s="155"/>
      <c r="D584" s="134"/>
      <c r="E584" s="82"/>
      <c r="F584" s="82"/>
      <c r="G584" s="82"/>
    </row>
    <row r="585">
      <c r="A585" s="154"/>
      <c r="B585" s="133"/>
      <c r="C585" s="155"/>
      <c r="D585" s="134"/>
      <c r="E585" s="82"/>
      <c r="F585" s="82"/>
      <c r="G585" s="82"/>
    </row>
    <row r="586">
      <c r="A586" s="154"/>
      <c r="B586" s="133"/>
      <c r="C586" s="155"/>
      <c r="D586" s="134"/>
      <c r="E586" s="82"/>
      <c r="F586" s="82"/>
      <c r="G586" s="82"/>
    </row>
    <row r="587">
      <c r="A587" s="154"/>
      <c r="B587" s="133"/>
      <c r="C587" s="155"/>
      <c r="D587" s="134"/>
      <c r="E587" s="82"/>
      <c r="F587" s="82"/>
      <c r="G587" s="82"/>
    </row>
    <row r="588">
      <c r="A588" s="154"/>
      <c r="B588" s="133"/>
      <c r="C588" s="155"/>
      <c r="D588" s="134"/>
      <c r="E588" s="82"/>
      <c r="F588" s="82"/>
      <c r="G588" s="82"/>
    </row>
    <row r="589">
      <c r="A589" s="154"/>
      <c r="B589" s="133"/>
      <c r="C589" s="155"/>
      <c r="D589" s="134"/>
      <c r="E589" s="82"/>
      <c r="F589" s="82"/>
      <c r="G589" s="82"/>
    </row>
    <row r="590">
      <c r="A590" s="154"/>
      <c r="B590" s="133"/>
      <c r="C590" s="155"/>
      <c r="D590" s="134"/>
      <c r="E590" s="82"/>
      <c r="F590" s="82"/>
      <c r="G590" s="82"/>
    </row>
    <row r="591">
      <c r="A591" s="154"/>
      <c r="B591" s="133"/>
      <c r="C591" s="155"/>
      <c r="D591" s="134"/>
      <c r="E591" s="82"/>
      <c r="F591" s="82"/>
      <c r="G591" s="82"/>
    </row>
    <row r="592">
      <c r="A592" s="154"/>
      <c r="B592" s="133"/>
      <c r="C592" s="155"/>
      <c r="D592" s="134"/>
      <c r="E592" s="82"/>
      <c r="F592" s="82"/>
      <c r="G592" s="82"/>
    </row>
    <row r="593">
      <c r="A593" s="154"/>
      <c r="B593" s="133"/>
      <c r="C593" s="155"/>
      <c r="D593" s="134"/>
      <c r="E593" s="82"/>
      <c r="F593" s="82"/>
      <c r="G593" s="82"/>
    </row>
    <row r="594">
      <c r="A594" s="154"/>
      <c r="B594" s="133"/>
      <c r="C594" s="155"/>
      <c r="D594" s="134"/>
      <c r="E594" s="82"/>
      <c r="F594" s="82"/>
      <c r="G594" s="82"/>
    </row>
    <row r="595">
      <c r="A595" s="154"/>
      <c r="B595" s="133"/>
      <c r="C595" s="155"/>
      <c r="D595" s="134"/>
      <c r="E595" s="82"/>
      <c r="F595" s="82"/>
      <c r="G595" s="82"/>
    </row>
    <row r="596">
      <c r="A596" s="154"/>
      <c r="B596" s="133"/>
      <c r="C596" s="155"/>
      <c r="D596" s="134"/>
      <c r="E596" s="82"/>
      <c r="F596" s="82"/>
      <c r="G596" s="82"/>
    </row>
    <row r="597">
      <c r="A597" s="154"/>
      <c r="B597" s="133"/>
      <c r="C597" s="155"/>
      <c r="D597" s="134"/>
      <c r="E597" s="82"/>
      <c r="F597" s="82"/>
      <c r="G597" s="82"/>
    </row>
    <row r="598">
      <c r="A598" s="154"/>
      <c r="B598" s="133"/>
      <c r="C598" s="155"/>
      <c r="D598" s="134"/>
      <c r="E598" s="82"/>
      <c r="F598" s="82"/>
      <c r="G598" s="82"/>
    </row>
    <row r="599">
      <c r="A599" s="154"/>
      <c r="B599" s="133"/>
      <c r="C599" s="155"/>
      <c r="D599" s="134"/>
      <c r="E599" s="82"/>
      <c r="F599" s="82"/>
      <c r="G599" s="82"/>
    </row>
    <row r="600">
      <c r="A600" s="154"/>
      <c r="B600" s="133"/>
      <c r="C600" s="155"/>
      <c r="D600" s="134"/>
      <c r="E600" s="82"/>
      <c r="F600" s="82"/>
      <c r="G600" s="82"/>
    </row>
    <row r="601">
      <c r="A601" s="154"/>
      <c r="B601" s="133"/>
      <c r="C601" s="155"/>
      <c r="D601" s="134"/>
      <c r="E601" s="82"/>
      <c r="F601" s="82"/>
      <c r="G601" s="82"/>
    </row>
    <row r="602">
      <c r="A602" s="154"/>
      <c r="B602" s="133"/>
      <c r="C602" s="155"/>
      <c r="D602" s="134"/>
      <c r="E602" s="82"/>
      <c r="F602" s="82"/>
      <c r="G602" s="82"/>
    </row>
    <row r="603">
      <c r="A603" s="154"/>
      <c r="B603" s="133"/>
      <c r="C603" s="155"/>
      <c r="D603" s="134"/>
      <c r="E603" s="82"/>
      <c r="F603" s="82"/>
      <c r="G603" s="82"/>
    </row>
    <row r="604">
      <c r="A604" s="154"/>
      <c r="B604" s="133"/>
      <c r="C604" s="155"/>
      <c r="D604" s="134"/>
      <c r="E604" s="82"/>
      <c r="F604" s="82"/>
      <c r="G604" s="82"/>
    </row>
    <row r="605">
      <c r="A605" s="154"/>
      <c r="B605" s="133"/>
      <c r="C605" s="155"/>
      <c r="D605" s="134"/>
      <c r="E605" s="82"/>
      <c r="F605" s="82"/>
      <c r="G605" s="82"/>
    </row>
    <row r="606">
      <c r="A606" s="154"/>
      <c r="B606" s="133"/>
      <c r="C606" s="155"/>
      <c r="D606" s="134"/>
      <c r="E606" s="82"/>
      <c r="F606" s="82"/>
      <c r="G606" s="82"/>
    </row>
    <row r="607">
      <c r="A607" s="154"/>
      <c r="B607" s="133"/>
      <c r="C607" s="155"/>
      <c r="D607" s="134"/>
      <c r="E607" s="82"/>
      <c r="F607" s="82"/>
      <c r="G607" s="82"/>
    </row>
    <row r="608">
      <c r="A608" s="154"/>
      <c r="B608" s="133"/>
      <c r="C608" s="155"/>
      <c r="D608" s="134"/>
      <c r="E608" s="82"/>
      <c r="F608" s="82"/>
      <c r="G608" s="82"/>
    </row>
    <row r="609">
      <c r="A609" s="154"/>
      <c r="B609" s="133"/>
      <c r="C609" s="155"/>
      <c r="D609" s="134"/>
      <c r="E609" s="82"/>
      <c r="F609" s="82"/>
      <c r="G609" s="82"/>
    </row>
    <row r="610">
      <c r="A610" s="154"/>
      <c r="B610" s="133"/>
      <c r="C610" s="155"/>
      <c r="D610" s="134"/>
      <c r="E610" s="82"/>
      <c r="F610" s="82"/>
      <c r="G610" s="82"/>
    </row>
    <row r="611">
      <c r="A611" s="154"/>
      <c r="B611" s="133"/>
      <c r="C611" s="155"/>
      <c r="D611" s="134"/>
      <c r="E611" s="82"/>
      <c r="F611" s="82"/>
      <c r="G611" s="82"/>
    </row>
    <row r="612">
      <c r="A612" s="154"/>
      <c r="B612" s="133"/>
      <c r="C612" s="155"/>
      <c r="D612" s="134"/>
      <c r="E612" s="82"/>
      <c r="F612" s="82"/>
      <c r="G612" s="82"/>
    </row>
    <row r="613">
      <c r="A613" s="154"/>
      <c r="B613" s="133"/>
      <c r="C613" s="155"/>
      <c r="D613" s="134"/>
      <c r="E613" s="82"/>
      <c r="F613" s="82"/>
      <c r="G613" s="82"/>
    </row>
    <row r="614">
      <c r="A614" s="154"/>
      <c r="B614" s="133"/>
      <c r="C614" s="155"/>
      <c r="D614" s="134"/>
      <c r="E614" s="82"/>
      <c r="F614" s="82"/>
      <c r="G614" s="82"/>
    </row>
    <row r="615">
      <c r="A615" s="154"/>
      <c r="B615" s="133"/>
      <c r="C615" s="155"/>
      <c r="D615" s="134"/>
      <c r="E615" s="82"/>
      <c r="F615" s="82"/>
      <c r="G615" s="82"/>
    </row>
    <row r="616">
      <c r="A616" s="154"/>
      <c r="B616" s="133"/>
      <c r="C616" s="155"/>
      <c r="D616" s="134"/>
      <c r="E616" s="82"/>
      <c r="F616" s="82"/>
      <c r="G616" s="82"/>
    </row>
    <row r="617">
      <c r="A617" s="154"/>
      <c r="B617" s="133"/>
      <c r="C617" s="155"/>
      <c r="D617" s="134"/>
      <c r="E617" s="82"/>
      <c r="F617" s="82"/>
      <c r="G617" s="82"/>
    </row>
    <row r="618">
      <c r="A618" s="154"/>
      <c r="B618" s="133"/>
      <c r="C618" s="155"/>
      <c r="D618" s="134"/>
      <c r="E618" s="82"/>
      <c r="F618" s="82"/>
      <c r="G618" s="82"/>
    </row>
    <row r="619">
      <c r="A619" s="154"/>
      <c r="B619" s="133"/>
      <c r="C619" s="155"/>
      <c r="D619" s="134"/>
      <c r="E619" s="82"/>
      <c r="F619" s="82"/>
      <c r="G619" s="82"/>
    </row>
    <row r="620">
      <c r="A620" s="154"/>
      <c r="B620" s="133"/>
      <c r="C620" s="155"/>
      <c r="D620" s="134"/>
      <c r="E620" s="82"/>
      <c r="F620" s="82"/>
      <c r="G620" s="82"/>
    </row>
    <row r="621">
      <c r="A621" s="154"/>
      <c r="B621" s="133"/>
      <c r="C621" s="155"/>
      <c r="D621" s="134"/>
      <c r="E621" s="82"/>
      <c r="F621" s="82"/>
      <c r="G621" s="82"/>
    </row>
    <row r="622">
      <c r="A622" s="154"/>
      <c r="B622" s="133"/>
      <c r="C622" s="155"/>
      <c r="D622" s="134"/>
      <c r="E622" s="82"/>
      <c r="F622" s="82"/>
      <c r="G622" s="82"/>
    </row>
    <row r="623">
      <c r="A623" s="154"/>
      <c r="B623" s="133"/>
      <c r="C623" s="155"/>
      <c r="D623" s="134"/>
      <c r="E623" s="82"/>
      <c r="F623" s="82"/>
      <c r="G623" s="82"/>
    </row>
    <row r="624">
      <c r="A624" s="154"/>
      <c r="B624" s="133"/>
      <c r="C624" s="155"/>
      <c r="D624" s="134"/>
      <c r="E624" s="82"/>
      <c r="F624" s="82"/>
      <c r="G624" s="82"/>
    </row>
    <row r="625">
      <c r="A625" s="154"/>
      <c r="B625" s="133"/>
      <c r="C625" s="155"/>
      <c r="D625" s="134"/>
      <c r="E625" s="82"/>
      <c r="F625" s="82"/>
      <c r="G625" s="82"/>
    </row>
    <row r="626">
      <c r="A626" s="154"/>
      <c r="B626" s="133"/>
      <c r="C626" s="155"/>
      <c r="D626" s="134"/>
      <c r="E626" s="82"/>
      <c r="F626" s="82"/>
      <c r="G626" s="82"/>
    </row>
    <row r="627">
      <c r="A627" s="154"/>
      <c r="B627" s="133"/>
      <c r="C627" s="155"/>
      <c r="D627" s="134"/>
      <c r="E627" s="82"/>
      <c r="F627" s="82"/>
      <c r="G627" s="82"/>
    </row>
    <row r="628">
      <c r="A628" s="154"/>
      <c r="B628" s="133"/>
      <c r="C628" s="155"/>
      <c r="D628" s="134"/>
      <c r="E628" s="82"/>
      <c r="F628" s="82"/>
      <c r="G628" s="82"/>
    </row>
    <row r="629">
      <c r="A629" s="154"/>
      <c r="B629" s="133"/>
      <c r="C629" s="155"/>
      <c r="D629" s="134"/>
      <c r="E629" s="82"/>
      <c r="F629" s="82"/>
      <c r="G629" s="82"/>
    </row>
    <row r="630">
      <c r="A630" s="154"/>
      <c r="B630" s="133"/>
      <c r="C630" s="155"/>
      <c r="D630" s="134"/>
      <c r="E630" s="82"/>
      <c r="F630" s="82"/>
      <c r="G630" s="82"/>
    </row>
    <row r="631">
      <c r="A631" s="154"/>
      <c r="B631" s="133"/>
      <c r="C631" s="155"/>
      <c r="D631" s="134"/>
      <c r="E631" s="82"/>
      <c r="F631" s="82"/>
      <c r="G631" s="82"/>
    </row>
    <row r="632">
      <c r="A632" s="154"/>
      <c r="B632" s="133"/>
      <c r="C632" s="155"/>
      <c r="D632" s="134"/>
      <c r="E632" s="82"/>
      <c r="F632" s="82"/>
      <c r="G632" s="82"/>
    </row>
    <row r="633">
      <c r="A633" s="154"/>
      <c r="B633" s="133"/>
      <c r="C633" s="155"/>
      <c r="D633" s="134"/>
      <c r="E633" s="82"/>
      <c r="F633" s="82"/>
      <c r="G633" s="82"/>
    </row>
    <row r="634">
      <c r="A634" s="154"/>
      <c r="B634" s="133"/>
      <c r="C634" s="155"/>
      <c r="D634" s="134"/>
      <c r="E634" s="82"/>
      <c r="F634" s="82"/>
      <c r="G634" s="82"/>
    </row>
    <row r="635">
      <c r="A635" s="154"/>
      <c r="B635" s="133"/>
      <c r="C635" s="155"/>
      <c r="D635" s="134"/>
      <c r="E635" s="82"/>
      <c r="F635" s="82"/>
      <c r="G635" s="82"/>
    </row>
    <row r="636">
      <c r="A636" s="154"/>
      <c r="B636" s="133"/>
      <c r="C636" s="155"/>
      <c r="D636" s="134"/>
      <c r="E636" s="82"/>
      <c r="F636" s="82"/>
      <c r="G636" s="82"/>
    </row>
    <row r="637">
      <c r="A637" s="154"/>
      <c r="B637" s="133"/>
      <c r="C637" s="155"/>
      <c r="D637" s="134"/>
      <c r="E637" s="82"/>
      <c r="F637" s="82"/>
      <c r="G637" s="82"/>
    </row>
    <row r="638">
      <c r="A638" s="154"/>
      <c r="B638" s="133"/>
      <c r="C638" s="155"/>
      <c r="D638" s="134"/>
      <c r="E638" s="82"/>
      <c r="F638" s="82"/>
      <c r="G638" s="82"/>
    </row>
    <row r="639">
      <c r="A639" s="154"/>
      <c r="B639" s="133"/>
      <c r="C639" s="155"/>
      <c r="D639" s="134"/>
      <c r="E639" s="82"/>
      <c r="F639" s="82"/>
      <c r="G639" s="82"/>
    </row>
    <row r="640">
      <c r="A640" s="154"/>
      <c r="B640" s="133"/>
      <c r="C640" s="155"/>
      <c r="D640" s="134"/>
      <c r="E640" s="82"/>
      <c r="F640" s="82"/>
      <c r="G640" s="82"/>
    </row>
    <row r="641">
      <c r="A641" s="154"/>
      <c r="B641" s="133"/>
      <c r="C641" s="155"/>
      <c r="D641" s="134"/>
      <c r="E641" s="82"/>
      <c r="F641" s="82"/>
      <c r="G641" s="82"/>
    </row>
    <row r="642">
      <c r="A642" s="154"/>
      <c r="B642" s="133"/>
      <c r="C642" s="155"/>
      <c r="D642" s="134"/>
      <c r="E642" s="82"/>
      <c r="F642" s="82"/>
      <c r="G642" s="82"/>
    </row>
    <row r="643">
      <c r="A643" s="154"/>
      <c r="B643" s="133"/>
      <c r="C643" s="155"/>
      <c r="D643" s="134"/>
      <c r="E643" s="82"/>
      <c r="F643" s="82"/>
      <c r="G643" s="82"/>
    </row>
    <row r="644">
      <c r="A644" s="154"/>
      <c r="B644" s="133"/>
      <c r="C644" s="155"/>
      <c r="D644" s="134"/>
      <c r="E644" s="82"/>
      <c r="F644" s="82"/>
      <c r="G644" s="82"/>
    </row>
    <row r="645">
      <c r="A645" s="154"/>
      <c r="B645" s="133"/>
      <c r="C645" s="155"/>
      <c r="D645" s="134"/>
      <c r="E645" s="82"/>
      <c r="F645" s="82"/>
      <c r="G645" s="82"/>
    </row>
    <row r="646">
      <c r="A646" s="154"/>
      <c r="B646" s="133"/>
      <c r="C646" s="155"/>
      <c r="D646" s="134"/>
      <c r="E646" s="82"/>
      <c r="F646" s="82"/>
      <c r="G646" s="82"/>
    </row>
    <row r="647">
      <c r="A647" s="154"/>
      <c r="B647" s="133"/>
      <c r="C647" s="155"/>
      <c r="D647" s="134"/>
      <c r="E647" s="82"/>
      <c r="F647" s="82"/>
      <c r="G647" s="82"/>
    </row>
    <row r="648">
      <c r="A648" s="154"/>
      <c r="B648" s="133"/>
      <c r="C648" s="155"/>
      <c r="D648" s="134"/>
      <c r="E648" s="82"/>
      <c r="F648" s="82"/>
      <c r="G648" s="82"/>
    </row>
    <row r="649">
      <c r="A649" s="154"/>
      <c r="B649" s="133"/>
      <c r="C649" s="155"/>
      <c r="D649" s="134"/>
      <c r="E649" s="82"/>
      <c r="F649" s="82"/>
      <c r="G649" s="82"/>
    </row>
    <row r="650">
      <c r="A650" s="154"/>
      <c r="B650" s="133"/>
      <c r="C650" s="155"/>
      <c r="D650" s="134"/>
      <c r="E650" s="82"/>
      <c r="F650" s="82"/>
      <c r="G650" s="82"/>
    </row>
    <row r="651">
      <c r="A651" s="154"/>
      <c r="B651" s="133"/>
      <c r="C651" s="155"/>
      <c r="D651" s="134"/>
      <c r="E651" s="82"/>
      <c r="F651" s="82"/>
      <c r="G651" s="82"/>
    </row>
    <row r="652">
      <c r="A652" s="154"/>
      <c r="B652" s="133"/>
      <c r="C652" s="155"/>
      <c r="D652" s="134"/>
      <c r="E652" s="82"/>
      <c r="F652" s="82"/>
      <c r="G652" s="82"/>
    </row>
    <row r="653">
      <c r="A653" s="154"/>
      <c r="B653" s="133"/>
      <c r="C653" s="155"/>
      <c r="D653" s="134"/>
      <c r="E653" s="82"/>
      <c r="F653" s="82"/>
      <c r="G653" s="82"/>
    </row>
    <row r="654">
      <c r="A654" s="154"/>
      <c r="B654" s="133"/>
      <c r="C654" s="155"/>
      <c r="D654" s="134"/>
      <c r="E654" s="82"/>
      <c r="F654" s="82"/>
      <c r="G654" s="82"/>
    </row>
    <row r="655">
      <c r="A655" s="154"/>
      <c r="B655" s="133"/>
      <c r="C655" s="155"/>
      <c r="D655" s="134"/>
      <c r="E655" s="82"/>
      <c r="F655" s="82"/>
      <c r="G655" s="82"/>
    </row>
    <row r="656">
      <c r="A656" s="154"/>
      <c r="B656" s="133"/>
      <c r="C656" s="155"/>
      <c r="D656" s="134"/>
      <c r="E656" s="82"/>
      <c r="F656" s="82"/>
      <c r="G656" s="82"/>
    </row>
    <row r="657">
      <c r="A657" s="154"/>
      <c r="B657" s="133"/>
      <c r="C657" s="155"/>
      <c r="D657" s="134"/>
      <c r="E657" s="82"/>
      <c r="F657" s="82"/>
      <c r="G657" s="82"/>
    </row>
    <row r="658">
      <c r="A658" s="154"/>
      <c r="B658" s="133"/>
      <c r="C658" s="155"/>
      <c r="D658" s="134"/>
      <c r="E658" s="82"/>
      <c r="F658" s="82"/>
      <c r="G658" s="82"/>
    </row>
    <row r="659">
      <c r="A659" s="154"/>
      <c r="B659" s="133"/>
      <c r="C659" s="155"/>
      <c r="D659" s="134"/>
      <c r="E659" s="82"/>
      <c r="F659" s="82"/>
      <c r="G659" s="82"/>
    </row>
    <row r="660">
      <c r="A660" s="154"/>
      <c r="B660" s="133"/>
      <c r="C660" s="155"/>
      <c r="D660" s="134"/>
      <c r="E660" s="82"/>
      <c r="F660" s="82"/>
      <c r="G660" s="82"/>
    </row>
    <row r="661">
      <c r="A661" s="154"/>
      <c r="B661" s="133"/>
      <c r="C661" s="155"/>
      <c r="D661" s="134"/>
      <c r="E661" s="82"/>
      <c r="F661" s="82"/>
      <c r="G661" s="82"/>
    </row>
    <row r="662">
      <c r="A662" s="154"/>
      <c r="B662" s="133"/>
      <c r="C662" s="155"/>
      <c r="D662" s="134"/>
      <c r="E662" s="82"/>
      <c r="F662" s="82"/>
      <c r="G662" s="82"/>
    </row>
    <row r="663">
      <c r="A663" s="154"/>
      <c r="B663" s="133"/>
      <c r="C663" s="155"/>
      <c r="D663" s="134"/>
      <c r="E663" s="82"/>
      <c r="F663" s="82"/>
      <c r="G663" s="82"/>
    </row>
    <row r="664">
      <c r="A664" s="154"/>
      <c r="B664" s="133"/>
      <c r="C664" s="155"/>
      <c r="D664" s="134"/>
      <c r="E664" s="82"/>
      <c r="F664" s="82"/>
      <c r="G664" s="82"/>
    </row>
    <row r="665">
      <c r="A665" s="154"/>
      <c r="B665" s="133"/>
      <c r="C665" s="155"/>
      <c r="D665" s="134"/>
      <c r="E665" s="82"/>
      <c r="F665" s="82"/>
      <c r="G665" s="82"/>
    </row>
    <row r="666">
      <c r="A666" s="154"/>
      <c r="B666" s="133"/>
      <c r="C666" s="155"/>
      <c r="D666" s="134"/>
      <c r="E666" s="82"/>
      <c r="F666" s="82"/>
      <c r="G666" s="82"/>
    </row>
    <row r="667">
      <c r="A667" s="154"/>
      <c r="B667" s="133"/>
      <c r="C667" s="155"/>
      <c r="D667" s="134"/>
      <c r="E667" s="82"/>
      <c r="F667" s="82"/>
      <c r="G667" s="82"/>
    </row>
    <row r="668">
      <c r="A668" s="154"/>
      <c r="B668" s="133"/>
      <c r="C668" s="155"/>
      <c r="D668" s="134"/>
      <c r="E668" s="82"/>
      <c r="F668" s="82"/>
      <c r="G668" s="82"/>
    </row>
    <row r="669">
      <c r="A669" s="154"/>
      <c r="B669" s="133"/>
      <c r="C669" s="155"/>
      <c r="D669" s="134"/>
      <c r="E669" s="82"/>
      <c r="F669" s="82"/>
      <c r="G669" s="82"/>
    </row>
    <row r="670">
      <c r="A670" s="154"/>
      <c r="B670" s="133"/>
      <c r="C670" s="155"/>
      <c r="D670" s="134"/>
      <c r="E670" s="82"/>
      <c r="F670" s="82"/>
      <c r="G670" s="82"/>
    </row>
    <row r="671">
      <c r="A671" s="154"/>
      <c r="B671" s="133"/>
      <c r="C671" s="155"/>
      <c r="D671" s="134"/>
      <c r="E671" s="82"/>
      <c r="F671" s="82"/>
      <c r="G671" s="82"/>
    </row>
    <row r="672">
      <c r="A672" s="154"/>
      <c r="B672" s="133"/>
      <c r="C672" s="155"/>
      <c r="D672" s="134"/>
      <c r="E672" s="82"/>
      <c r="F672" s="82"/>
      <c r="G672" s="82"/>
    </row>
    <row r="673">
      <c r="A673" s="154"/>
      <c r="B673" s="133"/>
      <c r="C673" s="155"/>
      <c r="D673" s="134"/>
      <c r="E673" s="82"/>
      <c r="F673" s="82"/>
      <c r="G673" s="82"/>
    </row>
    <row r="674">
      <c r="A674" s="154"/>
      <c r="B674" s="133"/>
      <c r="C674" s="155"/>
      <c r="D674" s="134"/>
      <c r="E674" s="82"/>
      <c r="F674" s="82"/>
      <c r="G674" s="82"/>
    </row>
    <row r="675">
      <c r="A675" s="154"/>
      <c r="B675" s="133"/>
      <c r="C675" s="155"/>
      <c r="D675" s="134"/>
      <c r="E675" s="82"/>
      <c r="F675" s="82"/>
      <c r="G675" s="82"/>
    </row>
    <row r="676">
      <c r="A676" s="154"/>
      <c r="B676" s="133"/>
      <c r="C676" s="155"/>
      <c r="D676" s="134"/>
      <c r="E676" s="82"/>
      <c r="F676" s="82"/>
      <c r="G676" s="82"/>
    </row>
    <row r="677">
      <c r="A677" s="154"/>
      <c r="B677" s="133"/>
      <c r="C677" s="155"/>
      <c r="D677" s="134"/>
      <c r="E677" s="82"/>
      <c r="F677" s="82"/>
      <c r="G677" s="82"/>
    </row>
    <row r="678">
      <c r="A678" s="154"/>
      <c r="B678" s="133"/>
      <c r="C678" s="155"/>
      <c r="D678" s="134"/>
      <c r="E678" s="82"/>
      <c r="F678" s="82"/>
      <c r="G678" s="82"/>
    </row>
    <row r="679">
      <c r="A679" s="154"/>
      <c r="B679" s="133"/>
      <c r="C679" s="155"/>
      <c r="D679" s="134"/>
      <c r="E679" s="82"/>
      <c r="F679" s="82"/>
      <c r="G679" s="82"/>
    </row>
    <row r="680">
      <c r="A680" s="154"/>
      <c r="B680" s="133"/>
      <c r="C680" s="155"/>
      <c r="D680" s="134"/>
      <c r="E680" s="82"/>
      <c r="F680" s="82"/>
      <c r="G680" s="82"/>
    </row>
    <row r="681">
      <c r="A681" s="154"/>
      <c r="B681" s="133"/>
      <c r="C681" s="155"/>
      <c r="D681" s="134"/>
      <c r="E681" s="82"/>
      <c r="F681" s="82"/>
      <c r="G681" s="82"/>
    </row>
    <row r="682">
      <c r="A682" s="154"/>
      <c r="B682" s="133"/>
      <c r="C682" s="155"/>
      <c r="D682" s="134"/>
      <c r="E682" s="82"/>
      <c r="F682" s="82"/>
      <c r="G682" s="82"/>
    </row>
    <row r="683">
      <c r="A683" s="154"/>
      <c r="B683" s="133"/>
      <c r="C683" s="155"/>
      <c r="D683" s="134"/>
      <c r="E683" s="82"/>
      <c r="F683" s="82"/>
      <c r="G683" s="82"/>
    </row>
    <row r="684">
      <c r="A684" s="154"/>
      <c r="B684" s="133"/>
      <c r="C684" s="155"/>
      <c r="D684" s="134"/>
      <c r="E684" s="82"/>
      <c r="F684" s="82"/>
      <c r="G684" s="82"/>
    </row>
    <row r="685">
      <c r="A685" s="154"/>
      <c r="B685" s="133"/>
      <c r="C685" s="155"/>
      <c r="D685" s="134"/>
      <c r="E685" s="82"/>
      <c r="F685" s="82"/>
      <c r="G685" s="82"/>
    </row>
    <row r="686">
      <c r="A686" s="154"/>
      <c r="B686" s="133"/>
      <c r="C686" s="155"/>
      <c r="D686" s="134"/>
      <c r="E686" s="82"/>
      <c r="F686" s="82"/>
      <c r="G686" s="82"/>
    </row>
    <row r="687">
      <c r="A687" s="154"/>
      <c r="B687" s="133"/>
      <c r="C687" s="155"/>
      <c r="D687" s="134"/>
      <c r="E687" s="82"/>
      <c r="F687" s="82"/>
      <c r="G687" s="82"/>
    </row>
    <row r="688">
      <c r="A688" s="154"/>
      <c r="B688" s="133"/>
      <c r="C688" s="155"/>
      <c r="D688" s="134"/>
      <c r="E688" s="82"/>
      <c r="F688" s="82"/>
      <c r="G688" s="82"/>
    </row>
    <row r="689">
      <c r="A689" s="154"/>
      <c r="B689" s="133"/>
      <c r="C689" s="155"/>
      <c r="D689" s="134"/>
      <c r="E689" s="82"/>
      <c r="F689" s="82"/>
      <c r="G689" s="82"/>
    </row>
    <row r="690">
      <c r="A690" s="154"/>
      <c r="B690" s="133"/>
      <c r="C690" s="155"/>
      <c r="D690" s="134"/>
      <c r="E690" s="82"/>
      <c r="F690" s="82"/>
      <c r="G690" s="82"/>
    </row>
    <row r="691">
      <c r="A691" s="154"/>
      <c r="B691" s="133"/>
      <c r="C691" s="155"/>
      <c r="D691" s="134"/>
      <c r="E691" s="82"/>
      <c r="F691" s="82"/>
      <c r="G691" s="82"/>
    </row>
    <row r="692">
      <c r="A692" s="154"/>
      <c r="B692" s="133"/>
      <c r="C692" s="155"/>
      <c r="D692" s="134"/>
      <c r="E692" s="82"/>
      <c r="F692" s="82"/>
      <c r="G692" s="82"/>
    </row>
    <row r="693">
      <c r="A693" s="154"/>
      <c r="B693" s="133"/>
      <c r="C693" s="155"/>
      <c r="D693" s="134"/>
      <c r="E693" s="82"/>
      <c r="F693" s="82"/>
      <c r="G693" s="82"/>
    </row>
    <row r="694">
      <c r="A694" s="154"/>
      <c r="B694" s="133"/>
      <c r="C694" s="155"/>
      <c r="D694" s="134"/>
      <c r="E694" s="82"/>
      <c r="F694" s="82"/>
      <c r="G694" s="82"/>
    </row>
    <row r="695">
      <c r="A695" s="154"/>
      <c r="B695" s="133"/>
      <c r="C695" s="155"/>
      <c r="D695" s="134"/>
      <c r="E695" s="82"/>
      <c r="F695" s="82"/>
      <c r="G695" s="82"/>
    </row>
    <row r="696">
      <c r="A696" s="154"/>
      <c r="B696" s="133"/>
      <c r="C696" s="155"/>
      <c r="D696" s="134"/>
      <c r="E696" s="82"/>
      <c r="F696" s="82"/>
      <c r="G696" s="82"/>
    </row>
    <row r="697">
      <c r="A697" s="154"/>
      <c r="B697" s="133"/>
      <c r="C697" s="155"/>
      <c r="D697" s="134"/>
      <c r="E697" s="82"/>
      <c r="F697" s="82"/>
      <c r="G697" s="82"/>
    </row>
    <row r="698">
      <c r="A698" s="154"/>
      <c r="B698" s="133"/>
      <c r="C698" s="155"/>
      <c r="D698" s="134"/>
      <c r="E698" s="82"/>
      <c r="F698" s="82"/>
      <c r="G698" s="82"/>
    </row>
    <row r="699">
      <c r="A699" s="154"/>
      <c r="B699" s="133"/>
      <c r="C699" s="155"/>
      <c r="D699" s="134"/>
      <c r="E699" s="82"/>
      <c r="F699" s="82"/>
      <c r="G699" s="82"/>
    </row>
    <row r="700">
      <c r="A700" s="154"/>
      <c r="B700" s="133"/>
      <c r="C700" s="155"/>
      <c r="D700" s="134"/>
      <c r="E700" s="82"/>
      <c r="F700" s="82"/>
      <c r="G700" s="82"/>
    </row>
    <row r="701">
      <c r="A701" s="154"/>
      <c r="B701" s="133"/>
      <c r="C701" s="155"/>
      <c r="D701" s="134"/>
      <c r="E701" s="82"/>
      <c r="F701" s="82"/>
      <c r="G701" s="82"/>
    </row>
    <row r="702">
      <c r="A702" s="154"/>
      <c r="B702" s="133"/>
      <c r="C702" s="155"/>
      <c r="D702" s="134"/>
      <c r="E702" s="82"/>
      <c r="F702" s="82"/>
      <c r="G702" s="82"/>
    </row>
    <row r="703">
      <c r="A703" s="154"/>
      <c r="B703" s="133"/>
      <c r="C703" s="155"/>
      <c r="D703" s="134"/>
      <c r="E703" s="82"/>
      <c r="F703" s="82"/>
      <c r="G703" s="82"/>
    </row>
    <row r="704">
      <c r="A704" s="154"/>
      <c r="B704" s="133"/>
      <c r="C704" s="155"/>
      <c r="D704" s="134"/>
      <c r="E704" s="82"/>
      <c r="F704" s="82"/>
      <c r="G704" s="82"/>
    </row>
    <row r="705">
      <c r="A705" s="154"/>
      <c r="B705" s="133"/>
      <c r="C705" s="155"/>
      <c r="D705" s="134"/>
      <c r="E705" s="82"/>
      <c r="F705" s="82"/>
      <c r="G705" s="82"/>
    </row>
    <row r="706">
      <c r="A706" s="154"/>
      <c r="B706" s="133"/>
      <c r="C706" s="155"/>
      <c r="D706" s="134"/>
      <c r="E706" s="82"/>
      <c r="F706" s="82"/>
      <c r="G706" s="82"/>
    </row>
    <row r="707">
      <c r="A707" s="154"/>
      <c r="B707" s="133"/>
      <c r="C707" s="155"/>
      <c r="D707" s="134"/>
      <c r="E707" s="82"/>
      <c r="F707" s="82"/>
      <c r="G707" s="82"/>
    </row>
    <row r="708">
      <c r="A708" s="154"/>
      <c r="B708" s="133"/>
      <c r="C708" s="155"/>
      <c r="D708" s="134"/>
      <c r="E708" s="82"/>
      <c r="F708" s="82"/>
      <c r="G708" s="82"/>
    </row>
    <row r="709">
      <c r="A709" s="154"/>
      <c r="B709" s="133"/>
      <c r="C709" s="155"/>
      <c r="D709" s="134"/>
      <c r="E709" s="82"/>
      <c r="F709" s="82"/>
      <c r="G709" s="82"/>
    </row>
    <row r="710">
      <c r="A710" s="154"/>
      <c r="B710" s="133"/>
      <c r="C710" s="155"/>
      <c r="D710" s="134"/>
      <c r="E710" s="82"/>
      <c r="F710" s="82"/>
      <c r="G710" s="82"/>
    </row>
    <row r="711">
      <c r="A711" s="154"/>
      <c r="B711" s="133"/>
      <c r="C711" s="155"/>
      <c r="D711" s="134"/>
      <c r="E711" s="82"/>
      <c r="F711" s="82"/>
      <c r="G711" s="82"/>
    </row>
    <row r="712">
      <c r="A712" s="154"/>
      <c r="B712" s="133"/>
      <c r="C712" s="155"/>
      <c r="D712" s="134"/>
      <c r="E712" s="82"/>
      <c r="F712" s="82"/>
      <c r="G712" s="82"/>
    </row>
    <row r="713">
      <c r="A713" s="154"/>
      <c r="B713" s="133"/>
      <c r="C713" s="155"/>
      <c r="D713" s="134"/>
      <c r="E713" s="82"/>
      <c r="F713" s="82"/>
      <c r="G713" s="82"/>
    </row>
    <row r="714">
      <c r="A714" s="154"/>
      <c r="B714" s="133"/>
      <c r="C714" s="155"/>
      <c r="D714" s="134"/>
      <c r="E714" s="82"/>
      <c r="F714" s="82"/>
      <c r="G714" s="82"/>
    </row>
    <row r="715">
      <c r="A715" s="154"/>
      <c r="B715" s="133"/>
      <c r="C715" s="155"/>
      <c r="D715" s="134"/>
      <c r="E715" s="82"/>
      <c r="F715" s="82"/>
      <c r="G715" s="82"/>
    </row>
    <row r="716">
      <c r="A716" s="154"/>
      <c r="B716" s="133"/>
      <c r="C716" s="155"/>
      <c r="D716" s="134"/>
      <c r="E716" s="82"/>
      <c r="F716" s="82"/>
      <c r="G716" s="82"/>
    </row>
    <row r="717">
      <c r="A717" s="154"/>
      <c r="B717" s="133"/>
      <c r="C717" s="155"/>
      <c r="D717" s="134"/>
      <c r="E717" s="82"/>
      <c r="F717" s="82"/>
      <c r="G717" s="82"/>
    </row>
    <row r="718">
      <c r="A718" s="154"/>
      <c r="B718" s="133"/>
      <c r="C718" s="155"/>
      <c r="D718" s="134"/>
      <c r="E718" s="82"/>
      <c r="F718" s="82"/>
      <c r="G718" s="82"/>
    </row>
    <row r="719">
      <c r="A719" s="154"/>
      <c r="B719" s="133"/>
      <c r="C719" s="155"/>
      <c r="D719" s="134"/>
      <c r="E719" s="82"/>
      <c r="F719" s="82"/>
      <c r="G719" s="82"/>
    </row>
    <row r="720">
      <c r="A720" s="154"/>
      <c r="B720" s="133"/>
      <c r="C720" s="155"/>
      <c r="D720" s="134"/>
      <c r="E720" s="82"/>
      <c r="F720" s="82"/>
      <c r="G720" s="82"/>
    </row>
    <row r="721">
      <c r="A721" s="154"/>
      <c r="B721" s="133"/>
      <c r="C721" s="155"/>
      <c r="D721" s="134"/>
      <c r="E721" s="82"/>
      <c r="F721" s="82"/>
      <c r="G721" s="82"/>
    </row>
    <row r="722">
      <c r="A722" s="154"/>
      <c r="B722" s="133"/>
      <c r="C722" s="155"/>
      <c r="D722" s="134"/>
      <c r="E722" s="82"/>
      <c r="F722" s="82"/>
      <c r="G722" s="82"/>
    </row>
    <row r="723">
      <c r="A723" s="154"/>
      <c r="B723" s="133"/>
      <c r="C723" s="155"/>
      <c r="D723" s="134"/>
      <c r="E723" s="82"/>
      <c r="F723" s="82"/>
      <c r="G723" s="82"/>
    </row>
    <row r="724">
      <c r="A724" s="154"/>
      <c r="B724" s="133"/>
      <c r="C724" s="155"/>
      <c r="D724" s="134"/>
      <c r="E724" s="82"/>
      <c r="F724" s="82"/>
      <c r="G724" s="82"/>
    </row>
    <row r="725">
      <c r="A725" s="154"/>
      <c r="B725" s="133"/>
      <c r="C725" s="155"/>
      <c r="D725" s="134"/>
      <c r="E725" s="82"/>
      <c r="F725" s="82"/>
      <c r="G725" s="82"/>
    </row>
    <row r="726">
      <c r="A726" s="154"/>
      <c r="B726" s="133"/>
      <c r="C726" s="155"/>
      <c r="D726" s="134"/>
      <c r="E726" s="82"/>
      <c r="F726" s="82"/>
      <c r="G726" s="82"/>
    </row>
    <row r="727">
      <c r="A727" s="154"/>
      <c r="B727" s="133"/>
      <c r="C727" s="155"/>
      <c r="D727" s="134"/>
      <c r="E727" s="82"/>
      <c r="F727" s="82"/>
      <c r="G727" s="82"/>
    </row>
    <row r="728">
      <c r="A728" s="154"/>
      <c r="B728" s="133"/>
      <c r="C728" s="155"/>
      <c r="D728" s="134"/>
      <c r="E728" s="82"/>
      <c r="F728" s="82"/>
      <c r="G728" s="82"/>
    </row>
    <row r="729">
      <c r="A729" s="154"/>
      <c r="B729" s="133"/>
      <c r="C729" s="155"/>
      <c r="D729" s="134"/>
      <c r="E729" s="82"/>
      <c r="F729" s="82"/>
      <c r="G729" s="82"/>
    </row>
    <row r="730">
      <c r="A730" s="154"/>
      <c r="B730" s="133"/>
      <c r="C730" s="155"/>
      <c r="D730" s="134"/>
      <c r="E730" s="82"/>
      <c r="F730" s="82"/>
      <c r="G730" s="82"/>
    </row>
    <row r="731">
      <c r="A731" s="154"/>
      <c r="B731" s="133"/>
      <c r="C731" s="155"/>
      <c r="D731" s="134"/>
      <c r="E731" s="82"/>
      <c r="F731" s="82"/>
      <c r="G731" s="82"/>
    </row>
    <row r="732">
      <c r="A732" s="154"/>
      <c r="B732" s="133"/>
      <c r="C732" s="155"/>
      <c r="D732" s="134"/>
      <c r="E732" s="82"/>
      <c r="F732" s="82"/>
      <c r="G732" s="82"/>
    </row>
    <row r="733">
      <c r="A733" s="154"/>
      <c r="B733" s="133"/>
      <c r="C733" s="155"/>
      <c r="D733" s="134"/>
      <c r="E733" s="82"/>
      <c r="F733" s="82"/>
      <c r="G733" s="82"/>
    </row>
    <row r="734">
      <c r="A734" s="154"/>
      <c r="B734" s="133"/>
      <c r="C734" s="155"/>
      <c r="D734" s="134"/>
      <c r="E734" s="82"/>
      <c r="F734" s="82"/>
      <c r="G734" s="82"/>
    </row>
    <row r="735">
      <c r="A735" s="154"/>
      <c r="B735" s="133"/>
      <c r="C735" s="155"/>
      <c r="D735" s="134"/>
      <c r="E735" s="82"/>
      <c r="F735" s="82"/>
      <c r="G735" s="82"/>
    </row>
    <row r="736">
      <c r="A736" s="154"/>
      <c r="B736" s="133"/>
      <c r="C736" s="155"/>
      <c r="D736" s="134"/>
      <c r="E736" s="82"/>
      <c r="F736" s="82"/>
      <c r="G736" s="82"/>
    </row>
    <row r="737">
      <c r="A737" s="154"/>
      <c r="B737" s="133"/>
      <c r="C737" s="155"/>
      <c r="D737" s="134"/>
      <c r="E737" s="82"/>
      <c r="F737" s="82"/>
      <c r="G737" s="82"/>
    </row>
    <row r="738">
      <c r="A738" s="154"/>
      <c r="B738" s="133"/>
      <c r="C738" s="155"/>
      <c r="D738" s="134"/>
      <c r="E738" s="82"/>
      <c r="F738" s="82"/>
      <c r="G738" s="82"/>
    </row>
    <row r="739">
      <c r="A739" s="154"/>
      <c r="B739" s="133"/>
      <c r="C739" s="155"/>
      <c r="D739" s="134"/>
      <c r="E739" s="82"/>
      <c r="F739" s="82"/>
      <c r="G739" s="82"/>
    </row>
    <row r="740">
      <c r="A740" s="154"/>
      <c r="B740" s="133"/>
      <c r="C740" s="155"/>
      <c r="D740" s="134"/>
      <c r="E740" s="82"/>
      <c r="F740" s="82"/>
      <c r="G740" s="82"/>
    </row>
    <row r="741">
      <c r="A741" s="154"/>
      <c r="B741" s="133"/>
      <c r="C741" s="155"/>
      <c r="D741" s="134"/>
      <c r="E741" s="82"/>
      <c r="F741" s="82"/>
      <c r="G741" s="82"/>
    </row>
    <row r="742">
      <c r="A742" s="154"/>
      <c r="B742" s="133"/>
      <c r="C742" s="155"/>
      <c r="D742" s="134"/>
      <c r="E742" s="82"/>
      <c r="F742" s="82"/>
      <c r="G742" s="82"/>
    </row>
    <row r="743">
      <c r="A743" s="154"/>
      <c r="B743" s="133"/>
      <c r="C743" s="155"/>
      <c r="D743" s="134"/>
      <c r="E743" s="82"/>
      <c r="F743" s="82"/>
      <c r="G743" s="82"/>
    </row>
    <row r="744">
      <c r="A744" s="154"/>
      <c r="B744" s="133"/>
      <c r="C744" s="155"/>
      <c r="D744" s="134"/>
      <c r="E744" s="82"/>
      <c r="F744" s="82"/>
      <c r="G744" s="82"/>
    </row>
    <row r="745">
      <c r="A745" s="154"/>
      <c r="B745" s="133"/>
      <c r="C745" s="155"/>
      <c r="D745" s="134"/>
      <c r="E745" s="82"/>
      <c r="F745" s="82"/>
      <c r="G745" s="82"/>
    </row>
    <row r="746">
      <c r="A746" s="154"/>
      <c r="B746" s="133"/>
      <c r="C746" s="155"/>
      <c r="D746" s="134"/>
      <c r="E746" s="82"/>
      <c r="F746" s="82"/>
      <c r="G746" s="82"/>
    </row>
    <row r="747">
      <c r="A747" s="154"/>
      <c r="B747" s="133"/>
      <c r="C747" s="155"/>
      <c r="D747" s="134"/>
      <c r="E747" s="82"/>
      <c r="F747" s="82"/>
      <c r="G747" s="82"/>
    </row>
    <row r="748">
      <c r="A748" s="154"/>
      <c r="B748" s="133"/>
      <c r="C748" s="155"/>
      <c r="D748" s="134"/>
      <c r="E748" s="82"/>
      <c r="F748" s="82"/>
      <c r="G748" s="82"/>
    </row>
    <row r="749">
      <c r="A749" s="154"/>
      <c r="B749" s="133"/>
      <c r="C749" s="155"/>
      <c r="D749" s="134"/>
      <c r="E749" s="82"/>
      <c r="F749" s="82"/>
      <c r="G749" s="82"/>
    </row>
    <row r="750">
      <c r="A750" s="154"/>
      <c r="B750" s="133"/>
      <c r="C750" s="155"/>
      <c r="D750" s="134"/>
      <c r="E750" s="82"/>
      <c r="F750" s="82"/>
      <c r="G750" s="82"/>
    </row>
    <row r="751">
      <c r="A751" s="154"/>
      <c r="B751" s="133"/>
      <c r="C751" s="155"/>
      <c r="D751" s="134"/>
      <c r="E751" s="82"/>
      <c r="F751" s="82"/>
      <c r="G751" s="82"/>
    </row>
    <row r="752">
      <c r="A752" s="154"/>
      <c r="B752" s="133"/>
      <c r="C752" s="155"/>
      <c r="D752" s="134"/>
      <c r="E752" s="82"/>
      <c r="F752" s="82"/>
      <c r="G752" s="82"/>
    </row>
    <row r="753">
      <c r="A753" s="154"/>
      <c r="B753" s="133"/>
      <c r="C753" s="155"/>
      <c r="D753" s="134"/>
      <c r="E753" s="82"/>
      <c r="F753" s="82"/>
      <c r="G753" s="82"/>
    </row>
    <row r="754">
      <c r="A754" s="154"/>
      <c r="B754" s="133"/>
      <c r="C754" s="155"/>
      <c r="D754" s="134"/>
      <c r="E754" s="82"/>
      <c r="F754" s="82"/>
      <c r="G754" s="82"/>
    </row>
    <row r="755">
      <c r="A755" s="154"/>
      <c r="B755" s="133"/>
      <c r="C755" s="155"/>
      <c r="D755" s="134"/>
      <c r="E755" s="82"/>
      <c r="F755" s="82"/>
      <c r="G755" s="82"/>
    </row>
    <row r="756">
      <c r="A756" s="154"/>
      <c r="B756" s="133"/>
      <c r="C756" s="155"/>
      <c r="D756" s="134"/>
      <c r="E756" s="82"/>
      <c r="F756" s="82"/>
      <c r="G756" s="82"/>
    </row>
    <row r="757">
      <c r="A757" s="154"/>
      <c r="B757" s="133"/>
      <c r="C757" s="155"/>
      <c r="D757" s="134"/>
      <c r="E757" s="82"/>
      <c r="F757" s="82"/>
      <c r="G757" s="82"/>
    </row>
    <row r="758">
      <c r="A758" s="154"/>
      <c r="B758" s="133"/>
      <c r="C758" s="155"/>
      <c r="D758" s="134"/>
      <c r="E758" s="82"/>
      <c r="F758" s="82"/>
      <c r="G758" s="82"/>
    </row>
    <row r="759">
      <c r="A759" s="154"/>
      <c r="B759" s="133"/>
      <c r="C759" s="155"/>
      <c r="D759" s="134"/>
      <c r="E759" s="82"/>
      <c r="F759" s="82"/>
      <c r="G759" s="82"/>
    </row>
    <row r="760">
      <c r="A760" s="154"/>
      <c r="B760" s="133"/>
      <c r="C760" s="155"/>
      <c r="D760" s="134"/>
      <c r="E760" s="82"/>
      <c r="F760" s="82"/>
      <c r="G760" s="82"/>
    </row>
    <row r="761">
      <c r="A761" s="154"/>
      <c r="B761" s="133"/>
      <c r="C761" s="155"/>
      <c r="D761" s="134"/>
      <c r="E761" s="82"/>
      <c r="F761" s="82"/>
      <c r="G761" s="82"/>
    </row>
    <row r="762">
      <c r="A762" s="154"/>
      <c r="B762" s="133"/>
      <c r="C762" s="155"/>
      <c r="D762" s="134"/>
      <c r="E762" s="82"/>
      <c r="F762" s="82"/>
      <c r="G762" s="82"/>
    </row>
    <row r="763">
      <c r="A763" s="154"/>
      <c r="B763" s="133"/>
      <c r="C763" s="155"/>
      <c r="D763" s="134"/>
      <c r="E763" s="82"/>
      <c r="F763" s="82"/>
      <c r="G763" s="82"/>
    </row>
    <row r="764">
      <c r="A764" s="154"/>
      <c r="B764" s="133"/>
      <c r="C764" s="155"/>
      <c r="D764" s="134"/>
      <c r="E764" s="82"/>
      <c r="F764" s="82"/>
      <c r="G764" s="82"/>
    </row>
    <row r="765">
      <c r="A765" s="154"/>
      <c r="B765" s="133"/>
      <c r="C765" s="155"/>
      <c r="D765" s="134"/>
      <c r="E765" s="82"/>
      <c r="F765" s="82"/>
      <c r="G765" s="82"/>
    </row>
    <row r="766">
      <c r="A766" s="154"/>
      <c r="B766" s="133"/>
      <c r="C766" s="155"/>
      <c r="D766" s="134"/>
      <c r="E766" s="82"/>
      <c r="F766" s="82"/>
      <c r="G766" s="82"/>
    </row>
    <row r="767">
      <c r="A767" s="154"/>
      <c r="B767" s="133"/>
      <c r="C767" s="155"/>
      <c r="D767" s="134"/>
      <c r="E767" s="82"/>
      <c r="F767" s="82"/>
      <c r="G767" s="82"/>
    </row>
    <row r="768">
      <c r="A768" s="154"/>
      <c r="B768" s="133"/>
      <c r="C768" s="155"/>
      <c r="D768" s="134"/>
      <c r="E768" s="82"/>
      <c r="F768" s="82"/>
      <c r="G768" s="82"/>
    </row>
    <row r="769">
      <c r="A769" s="154"/>
      <c r="B769" s="133"/>
      <c r="C769" s="155"/>
      <c r="D769" s="134"/>
      <c r="E769" s="82"/>
      <c r="F769" s="82"/>
      <c r="G769" s="82"/>
    </row>
    <row r="770">
      <c r="A770" s="154"/>
      <c r="B770" s="133"/>
      <c r="C770" s="155"/>
      <c r="D770" s="134"/>
      <c r="E770" s="82"/>
      <c r="F770" s="82"/>
      <c r="G770" s="82"/>
    </row>
    <row r="771">
      <c r="A771" s="154"/>
      <c r="B771" s="133"/>
      <c r="C771" s="155"/>
      <c r="D771" s="134"/>
      <c r="E771" s="82"/>
      <c r="F771" s="82"/>
      <c r="G771" s="82"/>
    </row>
    <row r="772">
      <c r="A772" s="154"/>
      <c r="B772" s="133"/>
      <c r="C772" s="155"/>
      <c r="D772" s="134"/>
      <c r="E772" s="82"/>
      <c r="F772" s="82"/>
      <c r="G772" s="82"/>
    </row>
    <row r="773">
      <c r="A773" s="154"/>
      <c r="B773" s="133"/>
      <c r="C773" s="155"/>
      <c r="D773" s="134"/>
      <c r="E773" s="82"/>
      <c r="F773" s="82"/>
      <c r="G773" s="82"/>
    </row>
    <row r="774">
      <c r="A774" s="154"/>
      <c r="B774" s="133"/>
      <c r="C774" s="155"/>
      <c r="D774" s="134"/>
      <c r="E774" s="82"/>
      <c r="F774" s="82"/>
      <c r="G774" s="82"/>
    </row>
    <row r="775">
      <c r="A775" s="154"/>
      <c r="B775" s="133"/>
      <c r="C775" s="155"/>
      <c r="D775" s="134"/>
      <c r="E775" s="82"/>
      <c r="F775" s="82"/>
      <c r="G775" s="82"/>
    </row>
    <row r="776">
      <c r="A776" s="154"/>
      <c r="B776" s="133"/>
      <c r="C776" s="155"/>
      <c r="D776" s="134"/>
      <c r="E776" s="82"/>
      <c r="F776" s="82"/>
      <c r="G776" s="82"/>
    </row>
    <row r="777">
      <c r="A777" s="154"/>
      <c r="B777" s="133"/>
      <c r="C777" s="155"/>
      <c r="D777" s="134"/>
      <c r="E777" s="82"/>
      <c r="F777" s="82"/>
      <c r="G777" s="82"/>
    </row>
    <row r="778">
      <c r="A778" s="154"/>
      <c r="B778" s="133"/>
      <c r="C778" s="155"/>
      <c r="D778" s="134"/>
      <c r="E778" s="82"/>
      <c r="F778" s="82"/>
      <c r="G778" s="82"/>
    </row>
    <row r="779">
      <c r="A779" s="154"/>
      <c r="B779" s="133"/>
      <c r="C779" s="155"/>
      <c r="D779" s="134"/>
      <c r="E779" s="82"/>
      <c r="F779" s="82"/>
      <c r="G779" s="82"/>
    </row>
    <row r="780">
      <c r="A780" s="154"/>
      <c r="B780" s="133"/>
      <c r="C780" s="155"/>
      <c r="D780" s="134"/>
      <c r="E780" s="82"/>
      <c r="F780" s="82"/>
      <c r="G780" s="82"/>
    </row>
    <row r="781">
      <c r="A781" s="154"/>
      <c r="B781" s="133"/>
      <c r="C781" s="155"/>
      <c r="D781" s="134"/>
      <c r="E781" s="82"/>
      <c r="F781" s="82"/>
      <c r="G781" s="82"/>
    </row>
    <row r="782">
      <c r="A782" s="154"/>
      <c r="B782" s="133"/>
      <c r="C782" s="155"/>
      <c r="D782" s="134"/>
      <c r="E782" s="82"/>
      <c r="F782" s="82"/>
      <c r="G782" s="82"/>
    </row>
    <row r="783">
      <c r="A783" s="154"/>
      <c r="B783" s="133"/>
      <c r="C783" s="155"/>
      <c r="D783" s="134"/>
      <c r="E783" s="82"/>
      <c r="F783" s="82"/>
      <c r="G783" s="82"/>
    </row>
    <row r="784">
      <c r="A784" s="154"/>
      <c r="B784" s="133"/>
      <c r="C784" s="155"/>
      <c r="D784" s="134"/>
      <c r="E784" s="82"/>
      <c r="F784" s="82"/>
      <c r="G784" s="82"/>
    </row>
    <row r="785">
      <c r="A785" s="154"/>
      <c r="B785" s="133"/>
      <c r="C785" s="155"/>
      <c r="D785" s="134"/>
      <c r="E785" s="82"/>
      <c r="F785" s="82"/>
      <c r="G785" s="82"/>
    </row>
    <row r="786">
      <c r="A786" s="154"/>
      <c r="B786" s="133"/>
      <c r="C786" s="155"/>
      <c r="D786" s="134"/>
      <c r="E786" s="82"/>
      <c r="F786" s="82"/>
      <c r="G786" s="82"/>
    </row>
    <row r="787">
      <c r="A787" s="154"/>
      <c r="B787" s="133"/>
      <c r="C787" s="155"/>
      <c r="D787" s="134"/>
      <c r="E787" s="82"/>
      <c r="F787" s="82"/>
      <c r="G787" s="82"/>
    </row>
    <row r="788">
      <c r="A788" s="154"/>
      <c r="B788" s="133"/>
      <c r="C788" s="155"/>
      <c r="D788" s="134"/>
      <c r="E788" s="82"/>
      <c r="F788" s="82"/>
      <c r="G788" s="82"/>
    </row>
    <row r="789">
      <c r="A789" s="154"/>
      <c r="B789" s="133"/>
      <c r="C789" s="155"/>
      <c r="D789" s="134"/>
      <c r="E789" s="82"/>
      <c r="F789" s="82"/>
      <c r="G789" s="82"/>
    </row>
    <row r="790">
      <c r="A790" s="154"/>
      <c r="B790" s="133"/>
      <c r="C790" s="155"/>
      <c r="D790" s="134"/>
      <c r="E790" s="82"/>
      <c r="F790" s="82"/>
      <c r="G790" s="82"/>
    </row>
    <row r="791">
      <c r="A791" s="154"/>
      <c r="B791" s="133"/>
      <c r="C791" s="155"/>
      <c r="D791" s="134"/>
      <c r="E791" s="82"/>
      <c r="F791" s="82"/>
      <c r="G791" s="82"/>
    </row>
    <row r="792">
      <c r="A792" s="154"/>
      <c r="B792" s="133"/>
      <c r="C792" s="155"/>
      <c r="D792" s="134"/>
      <c r="E792" s="82"/>
      <c r="F792" s="82"/>
      <c r="G792" s="82"/>
    </row>
    <row r="793">
      <c r="A793" s="154"/>
      <c r="B793" s="133"/>
      <c r="C793" s="155"/>
      <c r="D793" s="134"/>
      <c r="E793" s="82"/>
      <c r="F793" s="82"/>
      <c r="G793" s="82"/>
    </row>
    <row r="794">
      <c r="A794" s="154"/>
      <c r="B794" s="133"/>
      <c r="C794" s="155"/>
      <c r="D794" s="134"/>
      <c r="E794" s="82"/>
      <c r="F794" s="82"/>
      <c r="G794" s="82"/>
    </row>
    <row r="795">
      <c r="A795" s="154"/>
      <c r="B795" s="133"/>
      <c r="C795" s="155"/>
      <c r="D795" s="134"/>
      <c r="E795" s="82"/>
      <c r="F795" s="82"/>
      <c r="G795" s="82"/>
    </row>
    <row r="796">
      <c r="A796" s="154"/>
      <c r="B796" s="133"/>
      <c r="C796" s="155"/>
      <c r="D796" s="134"/>
      <c r="E796" s="82"/>
      <c r="F796" s="82"/>
      <c r="G796" s="82"/>
    </row>
    <row r="797">
      <c r="A797" s="154"/>
      <c r="B797" s="133"/>
      <c r="C797" s="155"/>
      <c r="D797" s="134"/>
      <c r="E797" s="82"/>
      <c r="F797" s="82"/>
      <c r="G797" s="82"/>
    </row>
    <row r="798">
      <c r="A798" s="154"/>
      <c r="B798" s="133"/>
      <c r="C798" s="155"/>
      <c r="D798" s="134"/>
      <c r="E798" s="82"/>
      <c r="F798" s="82"/>
      <c r="G798" s="82"/>
    </row>
    <row r="799">
      <c r="A799" s="154"/>
      <c r="B799" s="133"/>
      <c r="C799" s="155"/>
      <c r="D799" s="134"/>
      <c r="E799" s="82"/>
      <c r="F799" s="82"/>
      <c r="G799" s="82"/>
    </row>
    <row r="800">
      <c r="A800" s="154"/>
      <c r="B800" s="133"/>
      <c r="C800" s="155"/>
      <c r="D800" s="134"/>
      <c r="E800" s="82"/>
      <c r="F800" s="82"/>
      <c r="G800" s="82"/>
    </row>
    <row r="801">
      <c r="A801" s="154"/>
      <c r="B801" s="133"/>
      <c r="C801" s="155"/>
      <c r="D801" s="134"/>
      <c r="E801" s="82"/>
      <c r="F801" s="82"/>
      <c r="G801" s="82"/>
    </row>
    <row r="802">
      <c r="A802" s="154"/>
      <c r="B802" s="133"/>
      <c r="C802" s="155"/>
      <c r="D802" s="134"/>
      <c r="E802" s="82"/>
      <c r="F802" s="82"/>
      <c r="G802" s="82"/>
    </row>
    <row r="803">
      <c r="A803" s="154"/>
      <c r="B803" s="133"/>
      <c r="C803" s="155"/>
      <c r="D803" s="134"/>
      <c r="E803" s="82"/>
      <c r="F803" s="82"/>
      <c r="G803" s="82"/>
    </row>
    <row r="804">
      <c r="A804" s="154"/>
      <c r="B804" s="133"/>
      <c r="C804" s="155"/>
      <c r="D804" s="134"/>
      <c r="E804" s="82"/>
      <c r="F804" s="82"/>
      <c r="G804" s="82"/>
    </row>
    <row r="805">
      <c r="A805" s="154"/>
      <c r="B805" s="133"/>
      <c r="C805" s="155"/>
      <c r="D805" s="134"/>
      <c r="E805" s="82"/>
      <c r="F805" s="82"/>
      <c r="G805" s="82"/>
    </row>
    <row r="806">
      <c r="A806" s="154"/>
      <c r="B806" s="133"/>
      <c r="C806" s="155"/>
      <c r="D806" s="134"/>
      <c r="E806" s="82"/>
      <c r="F806" s="82"/>
      <c r="G806" s="82"/>
    </row>
    <row r="807">
      <c r="A807" s="154"/>
      <c r="B807" s="133"/>
      <c r="C807" s="155"/>
      <c r="D807" s="134"/>
      <c r="E807" s="82"/>
      <c r="F807" s="82"/>
      <c r="G807" s="82"/>
    </row>
    <row r="808">
      <c r="A808" s="154"/>
      <c r="B808" s="133"/>
      <c r="C808" s="155"/>
      <c r="D808" s="134"/>
      <c r="E808" s="82"/>
      <c r="F808" s="82"/>
      <c r="G808" s="82"/>
    </row>
    <row r="809">
      <c r="A809" s="154"/>
      <c r="B809" s="133"/>
      <c r="C809" s="155"/>
      <c r="D809" s="134"/>
      <c r="E809" s="82"/>
      <c r="F809" s="82"/>
      <c r="G809" s="82"/>
    </row>
    <row r="810">
      <c r="A810" s="154"/>
      <c r="B810" s="133"/>
      <c r="C810" s="155"/>
      <c r="D810" s="134"/>
      <c r="E810" s="82"/>
      <c r="F810" s="82"/>
      <c r="G810" s="82"/>
    </row>
    <row r="811">
      <c r="A811" s="154"/>
      <c r="B811" s="133"/>
      <c r="C811" s="155"/>
      <c r="D811" s="134"/>
      <c r="E811" s="82"/>
      <c r="F811" s="82"/>
      <c r="G811" s="82"/>
    </row>
    <row r="812">
      <c r="A812" s="154"/>
      <c r="B812" s="133"/>
      <c r="C812" s="155"/>
      <c r="D812" s="134"/>
      <c r="E812" s="82"/>
      <c r="F812" s="82"/>
      <c r="G812" s="82"/>
    </row>
    <row r="813">
      <c r="A813" s="154"/>
      <c r="B813" s="133"/>
      <c r="C813" s="155"/>
      <c r="D813" s="134"/>
      <c r="E813" s="82"/>
      <c r="F813" s="82"/>
      <c r="G813" s="82"/>
    </row>
    <row r="814">
      <c r="A814" s="154"/>
      <c r="B814" s="133"/>
      <c r="C814" s="155"/>
      <c r="D814" s="134"/>
      <c r="E814" s="82"/>
      <c r="F814" s="82"/>
      <c r="G814" s="82"/>
    </row>
    <row r="815">
      <c r="A815" s="154"/>
      <c r="B815" s="133"/>
      <c r="C815" s="155"/>
      <c r="D815" s="134"/>
      <c r="E815" s="82"/>
      <c r="F815" s="82"/>
      <c r="G815" s="82"/>
    </row>
    <row r="816">
      <c r="A816" s="154"/>
      <c r="B816" s="133"/>
      <c r="C816" s="155"/>
      <c r="D816" s="134"/>
      <c r="E816" s="82"/>
      <c r="F816" s="82"/>
      <c r="G816" s="82"/>
    </row>
    <row r="817">
      <c r="A817" s="154"/>
      <c r="B817" s="133"/>
      <c r="C817" s="155"/>
      <c r="D817" s="134"/>
      <c r="E817" s="82"/>
      <c r="F817" s="82"/>
      <c r="G817" s="82"/>
    </row>
    <row r="818">
      <c r="A818" s="154"/>
      <c r="B818" s="133"/>
      <c r="C818" s="155"/>
      <c r="D818" s="134"/>
      <c r="E818" s="82"/>
      <c r="F818" s="82"/>
      <c r="G818" s="82"/>
    </row>
    <row r="819">
      <c r="A819" s="154"/>
      <c r="B819" s="133"/>
      <c r="C819" s="155"/>
      <c r="D819" s="134"/>
      <c r="E819" s="82"/>
      <c r="F819" s="82"/>
      <c r="G819" s="82"/>
    </row>
    <row r="820">
      <c r="A820" s="154"/>
      <c r="B820" s="133"/>
      <c r="C820" s="155"/>
      <c r="D820" s="134"/>
      <c r="E820" s="82"/>
      <c r="F820" s="82"/>
      <c r="G820" s="82"/>
    </row>
    <row r="821">
      <c r="A821" s="154"/>
      <c r="B821" s="133"/>
      <c r="C821" s="155"/>
      <c r="D821" s="134"/>
      <c r="E821" s="82"/>
      <c r="F821" s="82"/>
      <c r="G821" s="82"/>
    </row>
    <row r="822">
      <c r="A822" s="154"/>
      <c r="B822" s="133"/>
      <c r="C822" s="155"/>
      <c r="D822" s="134"/>
      <c r="E822" s="82"/>
      <c r="F822" s="82"/>
      <c r="G822" s="82"/>
    </row>
    <row r="823">
      <c r="A823" s="154"/>
      <c r="B823" s="133"/>
      <c r="C823" s="155"/>
      <c r="D823" s="134"/>
      <c r="E823" s="82"/>
      <c r="F823" s="82"/>
      <c r="G823" s="82"/>
    </row>
    <row r="824">
      <c r="A824" s="154"/>
      <c r="B824" s="133"/>
      <c r="C824" s="155"/>
      <c r="D824" s="134"/>
      <c r="E824" s="82"/>
      <c r="F824" s="82"/>
      <c r="G824" s="82"/>
    </row>
    <row r="825">
      <c r="A825" s="154"/>
      <c r="B825" s="133"/>
      <c r="C825" s="155"/>
      <c r="D825" s="134"/>
      <c r="E825" s="82"/>
      <c r="F825" s="82"/>
      <c r="G825" s="82"/>
    </row>
    <row r="826">
      <c r="A826" s="154"/>
      <c r="B826" s="133"/>
      <c r="C826" s="155"/>
      <c r="D826" s="134"/>
      <c r="E826" s="82"/>
      <c r="F826" s="82"/>
      <c r="G826" s="82"/>
    </row>
    <row r="827">
      <c r="A827" s="154"/>
      <c r="B827" s="133"/>
      <c r="C827" s="155"/>
      <c r="D827" s="134"/>
      <c r="E827" s="82"/>
      <c r="F827" s="82"/>
      <c r="G827" s="82"/>
    </row>
    <row r="828">
      <c r="A828" s="154"/>
      <c r="B828" s="133"/>
      <c r="C828" s="155"/>
      <c r="D828" s="134"/>
      <c r="E828" s="82"/>
      <c r="F828" s="82"/>
      <c r="G828" s="82"/>
    </row>
    <row r="829">
      <c r="A829" s="154"/>
      <c r="B829" s="133"/>
      <c r="C829" s="155"/>
      <c r="D829" s="134"/>
      <c r="E829" s="82"/>
      <c r="F829" s="82"/>
      <c r="G829" s="82"/>
    </row>
    <row r="830">
      <c r="A830" s="154"/>
      <c r="B830" s="133"/>
      <c r="C830" s="155"/>
      <c r="D830" s="134"/>
      <c r="E830" s="82"/>
      <c r="F830" s="82"/>
      <c r="G830" s="82"/>
    </row>
    <row r="831">
      <c r="A831" s="154"/>
      <c r="B831" s="133"/>
      <c r="C831" s="155"/>
      <c r="D831" s="134"/>
      <c r="E831" s="82"/>
      <c r="F831" s="82"/>
      <c r="G831" s="82"/>
    </row>
    <row r="832">
      <c r="A832" s="154"/>
      <c r="B832" s="133"/>
      <c r="C832" s="155"/>
      <c r="D832" s="134"/>
      <c r="E832" s="82"/>
      <c r="F832" s="82"/>
      <c r="G832" s="82"/>
    </row>
    <row r="833">
      <c r="A833" s="154"/>
      <c r="B833" s="133"/>
      <c r="C833" s="155"/>
      <c r="D833" s="134"/>
      <c r="E833" s="82"/>
      <c r="F833" s="82"/>
      <c r="G833" s="82"/>
    </row>
    <row r="834">
      <c r="A834" s="154"/>
      <c r="B834" s="133"/>
      <c r="C834" s="155"/>
      <c r="D834" s="134"/>
      <c r="E834" s="82"/>
      <c r="F834" s="82"/>
      <c r="G834" s="82"/>
    </row>
    <row r="835">
      <c r="A835" s="154"/>
      <c r="B835" s="133"/>
      <c r="C835" s="155"/>
      <c r="D835" s="134"/>
      <c r="E835" s="82"/>
      <c r="F835" s="82"/>
      <c r="G835" s="82"/>
    </row>
    <row r="836">
      <c r="A836" s="154"/>
      <c r="B836" s="133"/>
      <c r="C836" s="155"/>
      <c r="D836" s="134"/>
      <c r="E836" s="82"/>
      <c r="F836" s="82"/>
      <c r="G836" s="82"/>
    </row>
    <row r="837">
      <c r="A837" s="154"/>
      <c r="B837" s="133"/>
      <c r="C837" s="155"/>
      <c r="D837" s="134"/>
      <c r="E837" s="82"/>
      <c r="F837" s="82"/>
      <c r="G837" s="82"/>
    </row>
    <row r="838">
      <c r="A838" s="154"/>
      <c r="B838" s="133"/>
      <c r="C838" s="155"/>
      <c r="D838" s="134"/>
      <c r="E838" s="82"/>
      <c r="F838" s="82"/>
      <c r="G838" s="82"/>
    </row>
    <row r="839">
      <c r="A839" s="154"/>
      <c r="B839" s="133"/>
      <c r="C839" s="155"/>
      <c r="D839" s="134"/>
      <c r="E839" s="82"/>
      <c r="F839" s="82"/>
      <c r="G839" s="82"/>
    </row>
    <row r="840">
      <c r="A840" s="154"/>
      <c r="B840" s="133"/>
      <c r="C840" s="155"/>
      <c r="D840" s="134"/>
      <c r="E840" s="82"/>
      <c r="F840" s="82"/>
      <c r="G840" s="82"/>
    </row>
    <row r="841">
      <c r="A841" s="154"/>
      <c r="B841" s="133"/>
      <c r="C841" s="155"/>
      <c r="D841" s="134"/>
      <c r="E841" s="82"/>
      <c r="F841" s="82"/>
      <c r="G841" s="82"/>
    </row>
    <row r="842">
      <c r="A842" s="154"/>
      <c r="B842" s="133"/>
      <c r="C842" s="155"/>
      <c r="D842" s="134"/>
      <c r="E842" s="82"/>
      <c r="F842" s="82"/>
      <c r="G842" s="82"/>
    </row>
    <row r="843">
      <c r="A843" s="154"/>
      <c r="B843" s="133"/>
      <c r="C843" s="155"/>
      <c r="D843" s="134"/>
      <c r="E843" s="82"/>
      <c r="F843" s="82"/>
      <c r="G843" s="82"/>
    </row>
    <row r="844">
      <c r="A844" s="154"/>
      <c r="B844" s="133"/>
      <c r="C844" s="155"/>
      <c r="D844" s="134"/>
      <c r="E844" s="82"/>
      <c r="F844" s="82"/>
      <c r="G844" s="82"/>
    </row>
    <row r="845">
      <c r="A845" s="154"/>
      <c r="B845" s="133"/>
      <c r="C845" s="155"/>
      <c r="D845" s="134"/>
      <c r="E845" s="82"/>
      <c r="F845" s="82"/>
      <c r="G845" s="82"/>
    </row>
    <row r="846">
      <c r="A846" s="154"/>
      <c r="B846" s="133"/>
      <c r="C846" s="155"/>
      <c r="D846" s="134"/>
      <c r="E846" s="82"/>
      <c r="F846" s="82"/>
      <c r="G846" s="82"/>
    </row>
    <row r="847">
      <c r="A847" s="154"/>
      <c r="B847" s="133"/>
      <c r="C847" s="155"/>
      <c r="D847" s="134"/>
      <c r="E847" s="82"/>
      <c r="F847" s="82"/>
      <c r="G847" s="82"/>
    </row>
    <row r="848">
      <c r="A848" s="154"/>
      <c r="B848" s="133"/>
      <c r="C848" s="155"/>
      <c r="D848" s="134"/>
      <c r="E848" s="82"/>
      <c r="F848" s="82"/>
      <c r="G848" s="82"/>
    </row>
    <row r="849">
      <c r="A849" s="154"/>
      <c r="B849" s="133"/>
      <c r="C849" s="155"/>
      <c r="D849" s="134"/>
      <c r="E849" s="82"/>
      <c r="F849" s="82"/>
      <c r="G849" s="82"/>
    </row>
    <row r="850">
      <c r="A850" s="154"/>
      <c r="B850" s="133"/>
      <c r="C850" s="155"/>
      <c r="D850" s="134"/>
      <c r="E850" s="82"/>
      <c r="F850" s="82"/>
      <c r="G850" s="82"/>
    </row>
    <row r="851">
      <c r="A851" s="154"/>
      <c r="B851" s="133"/>
      <c r="C851" s="155"/>
      <c r="D851" s="134"/>
      <c r="E851" s="82"/>
      <c r="F851" s="82"/>
      <c r="G851" s="82"/>
    </row>
    <row r="852">
      <c r="A852" s="154"/>
      <c r="B852" s="133"/>
      <c r="C852" s="155"/>
      <c r="D852" s="134"/>
      <c r="E852" s="82"/>
      <c r="F852" s="82"/>
      <c r="G852" s="82"/>
    </row>
    <row r="853">
      <c r="A853" s="154"/>
      <c r="B853" s="133"/>
      <c r="C853" s="155"/>
      <c r="D853" s="134"/>
      <c r="E853" s="82"/>
      <c r="F853" s="82"/>
      <c r="G853" s="82"/>
    </row>
    <row r="854">
      <c r="A854" s="154"/>
      <c r="B854" s="133"/>
      <c r="C854" s="155"/>
      <c r="D854" s="134"/>
      <c r="E854" s="82"/>
      <c r="F854" s="82"/>
      <c r="G854" s="82"/>
    </row>
    <row r="855">
      <c r="A855" s="154"/>
      <c r="B855" s="133"/>
      <c r="C855" s="155"/>
      <c r="D855" s="134"/>
      <c r="E855" s="82"/>
      <c r="F855" s="82"/>
      <c r="G855" s="82"/>
    </row>
    <row r="856">
      <c r="A856" s="154"/>
      <c r="B856" s="133"/>
      <c r="C856" s="155"/>
      <c r="D856" s="134"/>
      <c r="E856" s="82"/>
      <c r="F856" s="82"/>
      <c r="G856" s="82"/>
    </row>
    <row r="857">
      <c r="A857" s="154"/>
      <c r="B857" s="133"/>
      <c r="C857" s="155"/>
      <c r="D857" s="134"/>
      <c r="E857" s="82"/>
      <c r="F857" s="82"/>
      <c r="G857" s="82"/>
    </row>
    <row r="858">
      <c r="A858" s="154"/>
      <c r="B858" s="133"/>
      <c r="C858" s="155"/>
      <c r="D858" s="134"/>
      <c r="E858" s="82"/>
      <c r="F858" s="82"/>
      <c r="G858" s="82"/>
    </row>
    <row r="859">
      <c r="A859" s="154"/>
      <c r="B859" s="133"/>
      <c r="C859" s="155"/>
      <c r="D859" s="134"/>
      <c r="E859" s="82"/>
      <c r="F859" s="82"/>
      <c r="G859" s="82"/>
    </row>
    <row r="860">
      <c r="A860" s="154"/>
      <c r="B860" s="133"/>
      <c r="C860" s="155"/>
      <c r="D860" s="134"/>
      <c r="E860" s="82"/>
      <c r="F860" s="82"/>
      <c r="G860" s="82"/>
    </row>
    <row r="861">
      <c r="A861" s="154"/>
      <c r="B861" s="133"/>
      <c r="C861" s="155"/>
      <c r="D861" s="134"/>
      <c r="E861" s="82"/>
      <c r="F861" s="82"/>
      <c r="G861" s="82"/>
    </row>
    <row r="862">
      <c r="A862" s="154"/>
      <c r="B862" s="133"/>
      <c r="C862" s="155"/>
      <c r="D862" s="134"/>
      <c r="E862" s="82"/>
      <c r="F862" s="82"/>
      <c r="G862" s="82"/>
    </row>
    <row r="863">
      <c r="A863" s="154"/>
      <c r="B863" s="133"/>
      <c r="C863" s="155"/>
      <c r="D863" s="134"/>
      <c r="E863" s="82"/>
      <c r="F863" s="82"/>
      <c r="G863" s="82"/>
    </row>
    <row r="864">
      <c r="A864" s="154"/>
      <c r="B864" s="133"/>
      <c r="C864" s="155"/>
      <c r="D864" s="134"/>
      <c r="E864" s="82"/>
      <c r="F864" s="82"/>
      <c r="G864" s="82"/>
    </row>
    <row r="865">
      <c r="A865" s="154"/>
      <c r="B865" s="133"/>
      <c r="C865" s="155"/>
      <c r="D865" s="134"/>
      <c r="E865" s="82"/>
      <c r="F865" s="82"/>
      <c r="G865" s="82"/>
    </row>
    <row r="866">
      <c r="A866" s="154"/>
      <c r="B866" s="133"/>
      <c r="C866" s="155"/>
      <c r="D866" s="134"/>
      <c r="E866" s="82"/>
      <c r="F866" s="82"/>
      <c r="G866" s="82"/>
    </row>
    <row r="867">
      <c r="A867" s="154"/>
      <c r="B867" s="133"/>
      <c r="C867" s="155"/>
      <c r="D867" s="134"/>
      <c r="E867" s="82"/>
      <c r="F867" s="82"/>
      <c r="G867" s="82"/>
    </row>
    <row r="868">
      <c r="A868" s="154"/>
      <c r="B868" s="133"/>
      <c r="C868" s="155"/>
      <c r="D868" s="134"/>
      <c r="E868" s="82"/>
      <c r="F868" s="82"/>
      <c r="G868" s="82"/>
    </row>
    <row r="869">
      <c r="A869" s="154"/>
      <c r="B869" s="133"/>
      <c r="C869" s="155"/>
      <c r="D869" s="134"/>
      <c r="E869" s="82"/>
      <c r="F869" s="82"/>
      <c r="G869" s="82"/>
    </row>
    <row r="870">
      <c r="A870" s="154"/>
      <c r="B870" s="133"/>
      <c r="C870" s="155"/>
      <c r="D870" s="134"/>
      <c r="E870" s="82"/>
      <c r="F870" s="82"/>
      <c r="G870" s="82"/>
    </row>
    <row r="871">
      <c r="A871" s="154"/>
      <c r="B871" s="133"/>
      <c r="C871" s="155"/>
      <c r="D871" s="134"/>
      <c r="E871" s="82"/>
      <c r="F871" s="82"/>
      <c r="G871" s="82"/>
    </row>
    <row r="872">
      <c r="A872" s="154"/>
      <c r="B872" s="133"/>
      <c r="C872" s="155"/>
      <c r="D872" s="134"/>
      <c r="E872" s="82"/>
      <c r="F872" s="82"/>
      <c r="G872" s="82"/>
    </row>
    <row r="873">
      <c r="A873" s="154"/>
      <c r="B873" s="133"/>
      <c r="C873" s="155"/>
      <c r="D873" s="134"/>
      <c r="E873" s="82"/>
      <c r="F873" s="82"/>
      <c r="G873" s="82"/>
    </row>
    <row r="874">
      <c r="A874" s="154"/>
      <c r="B874" s="133"/>
      <c r="C874" s="155"/>
      <c r="D874" s="134"/>
      <c r="E874" s="82"/>
      <c r="F874" s="82"/>
      <c r="G874" s="82"/>
    </row>
    <row r="875">
      <c r="A875" s="154"/>
      <c r="B875" s="133"/>
      <c r="C875" s="155"/>
      <c r="D875" s="134"/>
      <c r="E875" s="82"/>
      <c r="F875" s="82"/>
      <c r="G875" s="82"/>
    </row>
    <row r="876">
      <c r="A876" s="154"/>
      <c r="B876" s="133"/>
      <c r="C876" s="155"/>
      <c r="D876" s="134"/>
      <c r="E876" s="82"/>
      <c r="F876" s="82"/>
      <c r="G876" s="82"/>
    </row>
    <row r="877">
      <c r="A877" s="154"/>
      <c r="B877" s="133"/>
      <c r="C877" s="155"/>
      <c r="D877" s="134"/>
      <c r="E877" s="82"/>
      <c r="F877" s="82"/>
      <c r="G877" s="82"/>
    </row>
    <row r="878">
      <c r="A878" s="154"/>
      <c r="B878" s="133"/>
      <c r="C878" s="155"/>
      <c r="D878" s="134"/>
      <c r="E878" s="82"/>
      <c r="F878" s="82"/>
      <c r="G878" s="82"/>
    </row>
    <row r="879">
      <c r="A879" s="154"/>
      <c r="B879" s="133"/>
      <c r="C879" s="155"/>
      <c r="D879" s="134"/>
      <c r="E879" s="82"/>
      <c r="F879" s="82"/>
      <c r="G879" s="82"/>
    </row>
    <row r="880">
      <c r="A880" s="154"/>
      <c r="B880" s="133"/>
      <c r="C880" s="155"/>
      <c r="D880" s="134"/>
      <c r="E880" s="82"/>
      <c r="F880" s="82"/>
      <c r="G880" s="82"/>
    </row>
    <row r="881">
      <c r="A881" s="154"/>
      <c r="B881" s="133"/>
      <c r="C881" s="155"/>
      <c r="D881" s="134"/>
      <c r="E881" s="82"/>
      <c r="F881" s="82"/>
      <c r="G881" s="82"/>
    </row>
    <row r="882">
      <c r="A882" s="154"/>
      <c r="B882" s="133"/>
      <c r="C882" s="155"/>
      <c r="D882" s="134"/>
      <c r="E882" s="82"/>
      <c r="F882" s="82"/>
      <c r="G882" s="82"/>
    </row>
    <row r="883">
      <c r="A883" s="154"/>
      <c r="B883" s="133"/>
      <c r="C883" s="155"/>
      <c r="D883" s="134"/>
      <c r="E883" s="82"/>
      <c r="F883" s="82"/>
      <c r="G883" s="82"/>
    </row>
    <row r="884">
      <c r="A884" s="154"/>
      <c r="B884" s="133"/>
      <c r="C884" s="155"/>
      <c r="D884" s="134"/>
      <c r="E884" s="82"/>
      <c r="F884" s="82"/>
      <c r="G884" s="82"/>
    </row>
    <row r="885">
      <c r="A885" s="154"/>
      <c r="B885" s="133"/>
      <c r="C885" s="155"/>
      <c r="D885" s="134"/>
      <c r="E885" s="82"/>
      <c r="F885" s="82"/>
      <c r="G885" s="82"/>
    </row>
    <row r="886">
      <c r="A886" s="154"/>
      <c r="B886" s="133"/>
      <c r="C886" s="155"/>
      <c r="D886" s="134"/>
      <c r="E886" s="82"/>
      <c r="F886" s="82"/>
      <c r="G886" s="82"/>
    </row>
    <row r="887">
      <c r="A887" s="154"/>
      <c r="B887" s="133"/>
      <c r="C887" s="155"/>
      <c r="D887" s="134"/>
      <c r="E887" s="82"/>
      <c r="F887" s="82"/>
      <c r="G887" s="82"/>
    </row>
    <row r="888">
      <c r="A888" s="154"/>
      <c r="B888" s="133"/>
      <c r="C888" s="155"/>
      <c r="D888" s="134"/>
      <c r="E888" s="82"/>
      <c r="F888" s="82"/>
      <c r="G888" s="82"/>
    </row>
    <row r="889">
      <c r="A889" s="154"/>
      <c r="B889" s="133"/>
      <c r="C889" s="155"/>
      <c r="D889" s="134"/>
      <c r="E889" s="82"/>
      <c r="F889" s="82"/>
      <c r="G889" s="82"/>
    </row>
    <row r="890">
      <c r="A890" s="154"/>
      <c r="B890" s="133"/>
      <c r="C890" s="155"/>
      <c r="D890" s="134"/>
      <c r="E890" s="82"/>
      <c r="F890" s="82"/>
      <c r="G890" s="82"/>
    </row>
    <row r="891">
      <c r="A891" s="154"/>
      <c r="B891" s="133"/>
      <c r="C891" s="155"/>
      <c r="D891" s="134"/>
      <c r="E891" s="82"/>
      <c r="F891" s="82"/>
      <c r="G891" s="82"/>
    </row>
    <row r="892">
      <c r="A892" s="154"/>
      <c r="B892" s="133"/>
      <c r="C892" s="155"/>
      <c r="D892" s="134"/>
      <c r="E892" s="82"/>
      <c r="F892" s="82"/>
      <c r="G892" s="82"/>
    </row>
    <row r="893">
      <c r="A893" s="154"/>
      <c r="B893" s="133"/>
      <c r="C893" s="155"/>
      <c r="D893" s="134"/>
      <c r="E893" s="82"/>
      <c r="F893" s="82"/>
      <c r="G893" s="82"/>
    </row>
    <row r="894">
      <c r="A894" s="154"/>
      <c r="B894" s="133"/>
      <c r="C894" s="155"/>
      <c r="D894" s="134"/>
      <c r="E894" s="82"/>
      <c r="F894" s="82"/>
      <c r="G894" s="82"/>
    </row>
    <row r="895">
      <c r="A895" s="154"/>
      <c r="B895" s="133"/>
      <c r="C895" s="155"/>
      <c r="D895" s="134"/>
      <c r="E895" s="82"/>
      <c r="F895" s="82"/>
      <c r="G895" s="82"/>
    </row>
    <row r="896">
      <c r="A896" s="154"/>
      <c r="B896" s="133"/>
      <c r="C896" s="155"/>
      <c r="D896" s="134"/>
      <c r="E896" s="82"/>
      <c r="F896" s="82"/>
      <c r="G896" s="82"/>
    </row>
    <row r="897">
      <c r="A897" s="154"/>
      <c r="B897" s="133"/>
      <c r="C897" s="155"/>
      <c r="D897" s="134"/>
      <c r="E897" s="82"/>
      <c r="F897" s="82"/>
      <c r="G897" s="82"/>
    </row>
    <row r="898">
      <c r="A898" s="154"/>
      <c r="B898" s="133"/>
      <c r="C898" s="155"/>
      <c r="D898" s="134"/>
      <c r="E898" s="82"/>
      <c r="F898" s="82"/>
      <c r="G898" s="82"/>
    </row>
    <row r="899">
      <c r="A899" s="154"/>
      <c r="B899" s="133"/>
      <c r="C899" s="155"/>
      <c r="D899" s="134"/>
      <c r="E899" s="82"/>
      <c r="F899" s="82"/>
      <c r="G899" s="82"/>
    </row>
    <row r="900">
      <c r="A900" s="154"/>
      <c r="B900" s="133"/>
      <c r="C900" s="155"/>
      <c r="D900" s="134"/>
      <c r="E900" s="82"/>
      <c r="F900" s="82"/>
      <c r="G900" s="82"/>
    </row>
    <row r="901">
      <c r="A901" s="154"/>
      <c r="B901" s="133"/>
      <c r="C901" s="155"/>
      <c r="D901" s="134"/>
      <c r="E901" s="82"/>
      <c r="F901" s="82"/>
      <c r="G901" s="82"/>
    </row>
    <row r="902">
      <c r="A902" s="154"/>
      <c r="B902" s="133"/>
      <c r="C902" s="155"/>
      <c r="D902" s="134"/>
      <c r="E902" s="82"/>
      <c r="F902" s="82"/>
      <c r="G902" s="82"/>
    </row>
    <row r="903">
      <c r="A903" s="154"/>
      <c r="B903" s="133"/>
      <c r="C903" s="155"/>
      <c r="D903" s="134"/>
      <c r="E903" s="82"/>
      <c r="F903" s="82"/>
      <c r="G903" s="82"/>
    </row>
    <row r="904">
      <c r="A904" s="154"/>
      <c r="B904" s="133"/>
      <c r="C904" s="155"/>
      <c r="D904" s="134"/>
      <c r="E904" s="82"/>
      <c r="F904" s="82"/>
      <c r="G904" s="82"/>
    </row>
    <row r="905">
      <c r="A905" s="154"/>
      <c r="B905" s="133"/>
      <c r="C905" s="155"/>
      <c r="D905" s="134"/>
      <c r="E905" s="82"/>
      <c r="F905" s="82"/>
      <c r="G905" s="82"/>
    </row>
    <row r="906">
      <c r="A906" s="154"/>
      <c r="B906" s="133"/>
      <c r="C906" s="155"/>
      <c r="D906" s="134"/>
      <c r="E906" s="82"/>
      <c r="F906" s="82"/>
      <c r="G906" s="82"/>
    </row>
    <row r="907">
      <c r="A907" s="154"/>
      <c r="B907" s="133"/>
      <c r="C907" s="155"/>
      <c r="D907" s="134"/>
      <c r="E907" s="82"/>
      <c r="F907" s="82"/>
      <c r="G907" s="82"/>
    </row>
    <row r="908">
      <c r="A908" s="154"/>
      <c r="B908" s="133"/>
      <c r="C908" s="155"/>
      <c r="D908" s="134"/>
      <c r="E908" s="82"/>
      <c r="F908" s="82"/>
      <c r="G908" s="82"/>
    </row>
    <row r="909">
      <c r="A909" s="154"/>
      <c r="B909" s="133"/>
      <c r="C909" s="155"/>
      <c r="D909" s="134"/>
      <c r="E909" s="82"/>
      <c r="F909" s="82"/>
      <c r="G909" s="82"/>
    </row>
    <row r="910">
      <c r="A910" s="154"/>
      <c r="B910" s="133"/>
      <c r="C910" s="155"/>
      <c r="D910" s="134"/>
      <c r="E910" s="82"/>
      <c r="F910" s="82"/>
      <c r="G910" s="82"/>
    </row>
    <row r="911">
      <c r="A911" s="154"/>
      <c r="B911" s="133"/>
      <c r="C911" s="155"/>
      <c r="D911" s="134"/>
      <c r="E911" s="82"/>
      <c r="F911" s="82"/>
      <c r="G911" s="82"/>
    </row>
    <row r="912">
      <c r="A912" s="154"/>
      <c r="B912" s="133"/>
      <c r="C912" s="155"/>
      <c r="D912" s="134"/>
      <c r="E912" s="82"/>
      <c r="F912" s="82"/>
      <c r="G912" s="82"/>
    </row>
    <row r="913">
      <c r="A913" s="154"/>
      <c r="B913" s="133"/>
      <c r="C913" s="155"/>
      <c r="D913" s="134"/>
      <c r="E913" s="82"/>
      <c r="F913" s="82"/>
      <c r="G913" s="82"/>
    </row>
    <row r="914">
      <c r="A914" s="154"/>
      <c r="B914" s="133"/>
      <c r="C914" s="155"/>
      <c r="D914" s="134"/>
      <c r="E914" s="82"/>
      <c r="F914" s="82"/>
      <c r="G914" s="82"/>
    </row>
    <row r="915">
      <c r="A915" s="154"/>
      <c r="B915" s="133"/>
      <c r="C915" s="155"/>
      <c r="D915" s="134"/>
      <c r="E915" s="82"/>
      <c r="F915" s="82"/>
      <c r="G915" s="82"/>
    </row>
    <row r="916">
      <c r="A916" s="154"/>
      <c r="B916" s="133"/>
      <c r="C916" s="155"/>
      <c r="D916" s="134"/>
      <c r="E916" s="82"/>
      <c r="F916" s="82"/>
      <c r="G916" s="82"/>
    </row>
    <row r="917">
      <c r="A917" s="154"/>
      <c r="B917" s="133"/>
      <c r="C917" s="155"/>
      <c r="D917" s="134"/>
      <c r="E917" s="82"/>
      <c r="F917" s="82"/>
      <c r="G917" s="82"/>
    </row>
    <row r="918">
      <c r="A918" s="154"/>
      <c r="B918" s="133"/>
      <c r="C918" s="155"/>
      <c r="D918" s="134"/>
      <c r="E918" s="82"/>
      <c r="F918" s="82"/>
      <c r="G918" s="82"/>
    </row>
    <row r="919">
      <c r="A919" s="154"/>
      <c r="B919" s="133"/>
      <c r="C919" s="155"/>
      <c r="D919" s="134"/>
      <c r="E919" s="82"/>
      <c r="F919" s="82"/>
      <c r="G919" s="82"/>
    </row>
    <row r="920">
      <c r="A920" s="154"/>
      <c r="B920" s="133"/>
      <c r="C920" s="155"/>
      <c r="D920" s="134"/>
      <c r="E920" s="82"/>
      <c r="F920" s="82"/>
      <c r="G920" s="82"/>
    </row>
    <row r="921">
      <c r="A921" s="154"/>
      <c r="B921" s="133"/>
      <c r="C921" s="155"/>
      <c r="D921" s="134"/>
      <c r="E921" s="82"/>
      <c r="F921" s="82"/>
      <c r="G921" s="82"/>
    </row>
    <row r="922">
      <c r="A922" s="154"/>
      <c r="B922" s="133"/>
      <c r="C922" s="155"/>
      <c r="D922" s="134"/>
      <c r="E922" s="82"/>
      <c r="F922" s="82"/>
      <c r="G922" s="82"/>
    </row>
    <row r="923">
      <c r="A923" s="154"/>
      <c r="B923" s="133"/>
      <c r="C923" s="155"/>
      <c r="D923" s="134"/>
      <c r="E923" s="82"/>
      <c r="F923" s="82"/>
      <c r="G923" s="82"/>
    </row>
    <row r="924">
      <c r="A924" s="154"/>
      <c r="B924" s="133"/>
      <c r="C924" s="155"/>
      <c r="D924" s="134"/>
      <c r="E924" s="82"/>
      <c r="F924" s="82"/>
      <c r="G924" s="82"/>
    </row>
    <row r="925">
      <c r="A925" s="154"/>
      <c r="B925" s="133"/>
      <c r="C925" s="155"/>
      <c r="D925" s="134"/>
      <c r="E925" s="82"/>
      <c r="F925" s="82"/>
      <c r="G925" s="82"/>
    </row>
    <row r="926">
      <c r="A926" s="154"/>
      <c r="B926" s="133"/>
      <c r="C926" s="155"/>
      <c r="D926" s="134"/>
      <c r="E926" s="82"/>
      <c r="F926" s="82"/>
      <c r="G926" s="82"/>
    </row>
    <row r="927">
      <c r="A927" s="154"/>
      <c r="B927" s="133"/>
      <c r="C927" s="155"/>
      <c r="D927" s="134"/>
      <c r="E927" s="82"/>
      <c r="F927" s="82"/>
      <c r="G927" s="82"/>
    </row>
    <row r="928">
      <c r="A928" s="154"/>
      <c r="B928" s="133"/>
      <c r="C928" s="155"/>
      <c r="D928" s="134"/>
      <c r="E928" s="82"/>
      <c r="F928" s="82"/>
      <c r="G928" s="82"/>
    </row>
    <row r="929">
      <c r="A929" s="154"/>
      <c r="B929" s="133"/>
      <c r="C929" s="155"/>
      <c r="D929" s="134"/>
      <c r="E929" s="82"/>
      <c r="F929" s="82"/>
      <c r="G929" s="82"/>
    </row>
    <row r="930">
      <c r="A930" s="154"/>
      <c r="B930" s="133"/>
      <c r="C930" s="155"/>
      <c r="D930" s="134"/>
      <c r="E930" s="82"/>
      <c r="F930" s="82"/>
      <c r="G930" s="82"/>
    </row>
    <row r="931">
      <c r="A931" s="154"/>
      <c r="B931" s="133"/>
      <c r="C931" s="155"/>
      <c r="D931" s="134"/>
      <c r="E931" s="82"/>
      <c r="F931" s="82"/>
      <c r="G931" s="82"/>
    </row>
    <row r="932">
      <c r="A932" s="154"/>
      <c r="B932" s="133"/>
      <c r="C932" s="155"/>
      <c r="D932" s="134"/>
      <c r="E932" s="82"/>
      <c r="F932" s="82"/>
      <c r="G932" s="82"/>
    </row>
    <row r="933">
      <c r="A933" s="154"/>
      <c r="B933" s="133"/>
      <c r="C933" s="155"/>
      <c r="D933" s="134"/>
      <c r="E933" s="82"/>
      <c r="F933" s="82"/>
      <c r="G933" s="82"/>
    </row>
    <row r="934">
      <c r="A934" s="154"/>
      <c r="B934" s="133"/>
      <c r="C934" s="155"/>
      <c r="D934" s="134"/>
      <c r="E934" s="82"/>
      <c r="F934" s="82"/>
      <c r="G934" s="82"/>
    </row>
    <row r="935">
      <c r="A935" s="154"/>
      <c r="B935" s="133"/>
      <c r="C935" s="155"/>
      <c r="D935" s="134"/>
      <c r="E935" s="82"/>
      <c r="F935" s="82"/>
      <c r="G935" s="82"/>
    </row>
    <row r="936">
      <c r="A936" s="154"/>
      <c r="B936" s="133"/>
      <c r="C936" s="155"/>
      <c r="D936" s="134"/>
      <c r="E936" s="82"/>
      <c r="F936" s="82"/>
      <c r="G936" s="82"/>
    </row>
    <row r="937">
      <c r="A937" s="154"/>
      <c r="B937" s="133"/>
      <c r="C937" s="155"/>
      <c r="D937" s="134"/>
      <c r="E937" s="82"/>
      <c r="F937" s="82"/>
      <c r="G937" s="82"/>
    </row>
    <row r="938">
      <c r="A938" s="154"/>
      <c r="B938" s="133"/>
      <c r="C938" s="155"/>
      <c r="D938" s="134"/>
      <c r="E938" s="82"/>
      <c r="F938" s="82"/>
      <c r="G938" s="82"/>
    </row>
    <row r="939">
      <c r="A939" s="154"/>
      <c r="B939" s="133"/>
      <c r="C939" s="155"/>
      <c r="D939" s="134"/>
      <c r="E939" s="82"/>
      <c r="F939" s="82"/>
      <c r="G939" s="82"/>
    </row>
    <row r="940">
      <c r="A940" s="154"/>
      <c r="B940" s="133"/>
      <c r="C940" s="155"/>
      <c r="D940" s="134"/>
      <c r="E940" s="82"/>
      <c r="F940" s="82"/>
      <c r="G940" s="82"/>
    </row>
    <row r="941">
      <c r="A941" s="154"/>
      <c r="B941" s="133"/>
      <c r="C941" s="155"/>
      <c r="D941" s="134"/>
      <c r="E941" s="82"/>
      <c r="F941" s="82"/>
      <c r="G941" s="82"/>
    </row>
    <row r="942">
      <c r="A942" s="154"/>
      <c r="B942" s="133"/>
      <c r="C942" s="155"/>
      <c r="D942" s="134"/>
      <c r="E942" s="82"/>
      <c r="F942" s="82"/>
      <c r="G942" s="82"/>
    </row>
    <row r="943">
      <c r="A943" s="154"/>
      <c r="B943" s="133"/>
      <c r="C943" s="155"/>
      <c r="D943" s="134"/>
      <c r="E943" s="82"/>
      <c r="F943" s="82"/>
      <c r="G943" s="82"/>
    </row>
    <row r="944">
      <c r="A944" s="154"/>
      <c r="B944" s="133"/>
      <c r="C944" s="155"/>
      <c r="D944" s="134"/>
      <c r="E944" s="82"/>
      <c r="F944" s="82"/>
      <c r="G944" s="82"/>
    </row>
    <row r="945">
      <c r="A945" s="154"/>
      <c r="B945" s="133"/>
      <c r="C945" s="155"/>
      <c r="D945" s="134"/>
      <c r="E945" s="82"/>
      <c r="F945" s="82"/>
      <c r="G945" s="82"/>
    </row>
    <row r="946">
      <c r="A946" s="154"/>
      <c r="B946" s="133"/>
      <c r="C946" s="155"/>
      <c r="D946" s="134"/>
      <c r="E946" s="82"/>
      <c r="F946" s="82"/>
      <c r="G946" s="82"/>
    </row>
    <row r="947">
      <c r="A947" s="154"/>
      <c r="B947" s="133"/>
      <c r="C947" s="155"/>
      <c r="D947" s="134"/>
      <c r="E947" s="82"/>
      <c r="F947" s="82"/>
      <c r="G947" s="82"/>
    </row>
    <row r="948">
      <c r="A948" s="154"/>
      <c r="B948" s="133"/>
      <c r="C948" s="155"/>
      <c r="D948" s="134"/>
      <c r="E948" s="82"/>
      <c r="F948" s="82"/>
      <c r="G948" s="82"/>
    </row>
    <row r="949">
      <c r="A949" s="154"/>
      <c r="B949" s="133"/>
      <c r="C949" s="155"/>
      <c r="D949" s="134"/>
      <c r="E949" s="82"/>
      <c r="F949" s="82"/>
      <c r="G949" s="82"/>
    </row>
    <row r="950">
      <c r="A950" s="154"/>
      <c r="B950" s="133"/>
      <c r="C950" s="155"/>
      <c r="D950" s="134"/>
      <c r="E950" s="82"/>
      <c r="F950" s="82"/>
      <c r="G950" s="82"/>
    </row>
    <row r="951">
      <c r="A951" s="154"/>
      <c r="B951" s="133"/>
      <c r="C951" s="155"/>
      <c r="D951" s="134"/>
      <c r="E951" s="82"/>
      <c r="F951" s="82"/>
      <c r="G951" s="82"/>
    </row>
    <row r="952">
      <c r="A952" s="154"/>
      <c r="B952" s="133"/>
      <c r="C952" s="155"/>
      <c r="D952" s="134"/>
      <c r="E952" s="82"/>
      <c r="F952" s="82"/>
      <c r="G952" s="82"/>
    </row>
    <row r="953">
      <c r="A953" s="154"/>
      <c r="B953" s="133"/>
      <c r="C953" s="155"/>
      <c r="D953" s="134"/>
      <c r="E953" s="82"/>
      <c r="F953" s="82"/>
      <c r="G953" s="82"/>
    </row>
    <row r="954">
      <c r="A954" s="154"/>
      <c r="B954" s="133"/>
      <c r="C954" s="155"/>
      <c r="D954" s="134"/>
      <c r="E954" s="82"/>
      <c r="F954" s="82"/>
      <c r="G954" s="82"/>
    </row>
    <row r="955">
      <c r="A955" s="154"/>
      <c r="B955" s="133"/>
      <c r="C955" s="155"/>
      <c r="D955" s="134"/>
      <c r="E955" s="82"/>
      <c r="F955" s="82"/>
      <c r="G955" s="82"/>
    </row>
    <row r="956">
      <c r="A956" s="154"/>
      <c r="B956" s="133"/>
      <c r="C956" s="155"/>
      <c r="D956" s="134"/>
      <c r="E956" s="82"/>
      <c r="F956" s="82"/>
      <c r="G956" s="82"/>
    </row>
    <row r="957">
      <c r="A957" s="154"/>
      <c r="B957" s="133"/>
      <c r="C957" s="155"/>
      <c r="D957" s="134"/>
      <c r="E957" s="82"/>
      <c r="F957" s="82"/>
      <c r="G957" s="82"/>
    </row>
    <row r="958">
      <c r="A958" s="154"/>
      <c r="B958" s="133"/>
      <c r="C958" s="155"/>
      <c r="D958" s="134"/>
      <c r="E958" s="82"/>
      <c r="F958" s="82"/>
      <c r="G958" s="82"/>
    </row>
    <row r="959">
      <c r="A959" s="154"/>
      <c r="B959" s="133"/>
      <c r="C959" s="155"/>
      <c r="D959" s="134"/>
      <c r="E959" s="82"/>
      <c r="F959" s="82"/>
      <c r="G959" s="82"/>
    </row>
    <row r="960">
      <c r="A960" s="154"/>
      <c r="B960" s="133"/>
      <c r="C960" s="155"/>
      <c r="D960" s="134"/>
      <c r="E960" s="82"/>
      <c r="F960" s="82"/>
      <c r="G960" s="82"/>
    </row>
    <row r="961">
      <c r="A961" s="154"/>
      <c r="B961" s="133"/>
      <c r="C961" s="155"/>
      <c r="D961" s="134"/>
      <c r="E961" s="82"/>
      <c r="F961" s="82"/>
      <c r="G961" s="82"/>
    </row>
    <row r="962">
      <c r="A962" s="154"/>
      <c r="B962" s="133"/>
      <c r="C962" s="155"/>
      <c r="D962" s="134"/>
      <c r="E962" s="82"/>
      <c r="F962" s="82"/>
      <c r="G962" s="82"/>
    </row>
    <row r="963">
      <c r="A963" s="154"/>
      <c r="B963" s="133"/>
      <c r="C963" s="155"/>
      <c r="D963" s="134"/>
      <c r="E963" s="82"/>
      <c r="F963" s="82"/>
      <c r="G963" s="82"/>
    </row>
    <row r="964">
      <c r="A964" s="154"/>
      <c r="B964" s="133"/>
      <c r="C964" s="155"/>
      <c r="D964" s="134"/>
      <c r="E964" s="82"/>
      <c r="F964" s="82"/>
      <c r="G964" s="82"/>
    </row>
    <row r="965">
      <c r="A965" s="154"/>
      <c r="B965" s="133"/>
      <c r="C965" s="155"/>
      <c r="D965" s="134"/>
      <c r="E965" s="82"/>
      <c r="F965" s="82"/>
      <c r="G965" s="82"/>
    </row>
    <row r="966">
      <c r="A966" s="154"/>
      <c r="B966" s="133"/>
      <c r="C966" s="155"/>
      <c r="D966" s="134"/>
      <c r="E966" s="82"/>
      <c r="F966" s="82"/>
      <c r="G966" s="82"/>
    </row>
    <row r="967">
      <c r="A967" s="154"/>
      <c r="B967" s="133"/>
      <c r="C967" s="155"/>
      <c r="D967" s="134"/>
      <c r="E967" s="82"/>
      <c r="F967" s="82"/>
      <c r="G967" s="82"/>
    </row>
    <row r="968">
      <c r="A968" s="154"/>
      <c r="B968" s="133"/>
      <c r="C968" s="155"/>
      <c r="D968" s="134"/>
      <c r="E968" s="82"/>
      <c r="F968" s="82"/>
      <c r="G968" s="82"/>
    </row>
    <row r="969">
      <c r="A969" s="154"/>
      <c r="B969" s="133"/>
      <c r="C969" s="155"/>
      <c r="D969" s="134"/>
      <c r="E969" s="82"/>
      <c r="F969" s="82"/>
      <c r="G969" s="82"/>
    </row>
    <row r="970">
      <c r="A970" s="154"/>
      <c r="B970" s="133"/>
      <c r="C970" s="155"/>
      <c r="D970" s="134"/>
      <c r="E970" s="82"/>
      <c r="F970" s="82"/>
      <c r="G970" s="82"/>
    </row>
    <row r="971">
      <c r="A971" s="154"/>
      <c r="B971" s="133"/>
      <c r="C971" s="155"/>
      <c r="D971" s="134"/>
      <c r="E971" s="82"/>
      <c r="F971" s="82"/>
      <c r="G971" s="82"/>
    </row>
    <row r="972">
      <c r="A972" s="154"/>
      <c r="B972" s="133"/>
      <c r="C972" s="155"/>
      <c r="D972" s="134"/>
      <c r="E972" s="82"/>
      <c r="F972" s="82"/>
      <c r="G972" s="82"/>
    </row>
    <row r="973">
      <c r="A973" s="154"/>
      <c r="B973" s="133"/>
      <c r="C973" s="155"/>
      <c r="D973" s="134"/>
      <c r="E973" s="82"/>
      <c r="F973" s="82"/>
      <c r="G973" s="82"/>
    </row>
    <row r="974">
      <c r="A974" s="154"/>
      <c r="B974" s="133"/>
      <c r="C974" s="155"/>
      <c r="D974" s="134"/>
      <c r="E974" s="82"/>
      <c r="F974" s="82"/>
      <c r="G974" s="82"/>
    </row>
    <row r="975">
      <c r="A975" s="154"/>
      <c r="B975" s="133"/>
      <c r="C975" s="155"/>
      <c r="D975" s="134"/>
      <c r="E975" s="82"/>
      <c r="F975" s="82"/>
      <c r="G975" s="82"/>
    </row>
    <row r="976">
      <c r="A976" s="154"/>
      <c r="B976" s="133"/>
      <c r="C976" s="155"/>
      <c r="D976" s="134"/>
      <c r="E976" s="82"/>
      <c r="F976" s="82"/>
      <c r="G976" s="82"/>
    </row>
    <row r="977">
      <c r="A977" s="154"/>
      <c r="B977" s="133"/>
      <c r="C977" s="155"/>
      <c r="D977" s="134"/>
      <c r="E977" s="82"/>
      <c r="F977" s="82"/>
      <c r="G977" s="82"/>
    </row>
    <row r="978">
      <c r="A978" s="154"/>
      <c r="B978" s="133"/>
      <c r="C978" s="155"/>
      <c r="D978" s="134"/>
      <c r="E978" s="82"/>
      <c r="F978" s="82"/>
      <c r="G978" s="82"/>
    </row>
    <row r="979">
      <c r="A979" s="154"/>
      <c r="B979" s="133"/>
      <c r="C979" s="155"/>
      <c r="D979" s="134"/>
      <c r="E979" s="82"/>
      <c r="F979" s="82"/>
      <c r="G979" s="82"/>
    </row>
    <row r="980">
      <c r="A980" s="154"/>
      <c r="B980" s="133"/>
      <c r="C980" s="155"/>
      <c r="D980" s="134"/>
      <c r="E980" s="82"/>
      <c r="F980" s="82"/>
      <c r="G980" s="82"/>
    </row>
    <row r="981">
      <c r="A981" s="154"/>
      <c r="B981" s="133"/>
      <c r="C981" s="155"/>
      <c r="D981" s="134"/>
      <c r="E981" s="82"/>
      <c r="F981" s="82"/>
      <c r="G981" s="82"/>
    </row>
    <row r="982">
      <c r="A982" s="154"/>
      <c r="B982" s="133"/>
      <c r="C982" s="155"/>
      <c r="D982" s="134"/>
      <c r="E982" s="82"/>
      <c r="F982" s="82"/>
      <c r="G982" s="82"/>
    </row>
    <row r="983">
      <c r="A983" s="154"/>
      <c r="B983" s="133"/>
      <c r="C983" s="155"/>
      <c r="D983" s="134"/>
      <c r="E983" s="82"/>
      <c r="F983" s="82"/>
      <c r="G983" s="82"/>
    </row>
    <row r="984">
      <c r="A984" s="154"/>
      <c r="B984" s="133"/>
      <c r="C984" s="155"/>
      <c r="D984" s="134"/>
      <c r="E984" s="82"/>
      <c r="F984" s="82"/>
      <c r="G984" s="82"/>
    </row>
    <row r="985">
      <c r="A985" s="154"/>
      <c r="B985" s="133"/>
      <c r="C985" s="155"/>
      <c r="D985" s="134"/>
      <c r="E985" s="82"/>
      <c r="F985" s="82"/>
      <c r="G985" s="82"/>
    </row>
    <row r="986">
      <c r="A986" s="154"/>
      <c r="B986" s="133"/>
      <c r="C986" s="155"/>
      <c r="D986" s="134"/>
      <c r="E986" s="82"/>
      <c r="F986" s="82"/>
      <c r="G986" s="82"/>
    </row>
    <row r="987">
      <c r="A987" s="154"/>
      <c r="B987" s="133"/>
      <c r="C987" s="155"/>
      <c r="D987" s="134"/>
      <c r="E987" s="82"/>
      <c r="F987" s="82"/>
      <c r="G987" s="82"/>
    </row>
    <row r="988">
      <c r="A988" s="154"/>
      <c r="B988" s="133"/>
      <c r="C988" s="155"/>
      <c r="D988" s="134"/>
      <c r="E988" s="82"/>
      <c r="F988" s="82"/>
      <c r="G988" s="82"/>
    </row>
    <row r="989">
      <c r="A989" s="154"/>
      <c r="B989" s="133"/>
      <c r="C989" s="155"/>
      <c r="D989" s="134"/>
      <c r="E989" s="82"/>
      <c r="F989" s="82"/>
      <c r="G989" s="82"/>
    </row>
    <row r="990">
      <c r="A990" s="154"/>
      <c r="B990" s="133"/>
      <c r="C990" s="155"/>
      <c r="D990" s="134"/>
      <c r="E990" s="82"/>
      <c r="F990" s="82"/>
      <c r="G990" s="82"/>
    </row>
    <row r="991">
      <c r="A991" s="154"/>
      <c r="B991" s="133"/>
      <c r="C991" s="155"/>
      <c r="D991" s="134"/>
      <c r="E991" s="82"/>
      <c r="F991" s="82"/>
      <c r="G991" s="82"/>
    </row>
    <row r="992">
      <c r="A992" s="154"/>
      <c r="B992" s="133"/>
      <c r="C992" s="155"/>
      <c r="D992" s="134"/>
      <c r="E992" s="82"/>
      <c r="F992" s="82"/>
      <c r="G992" s="82"/>
    </row>
    <row r="993">
      <c r="A993" s="154"/>
      <c r="B993" s="133"/>
      <c r="C993" s="155"/>
      <c r="D993" s="134"/>
      <c r="E993" s="82"/>
      <c r="F993" s="82"/>
      <c r="G993" s="82"/>
    </row>
    <row r="994">
      <c r="A994" s="154"/>
      <c r="B994" s="133"/>
      <c r="C994" s="155"/>
      <c r="D994" s="134"/>
      <c r="E994" s="82"/>
      <c r="F994" s="82"/>
      <c r="G994" s="82"/>
    </row>
    <row r="995">
      <c r="A995" s="154"/>
      <c r="B995" s="133"/>
      <c r="C995" s="155"/>
      <c r="D995" s="134"/>
      <c r="E995" s="82"/>
      <c r="F995" s="82"/>
      <c r="G995" s="82"/>
    </row>
    <row r="996">
      <c r="A996" s="154"/>
      <c r="B996" s="133"/>
      <c r="C996" s="155"/>
      <c r="D996" s="134"/>
      <c r="E996" s="82"/>
      <c r="F996" s="82"/>
      <c r="G996" s="82"/>
    </row>
    <row r="997">
      <c r="A997" s="154"/>
      <c r="B997" s="133"/>
      <c r="C997" s="155"/>
      <c r="D997" s="134"/>
      <c r="E997" s="82"/>
      <c r="F997" s="82"/>
      <c r="G997" s="82"/>
    </row>
    <row r="998">
      <c r="A998" s="154"/>
      <c r="B998" s="133"/>
      <c r="C998" s="155"/>
      <c r="D998" s="134"/>
      <c r="E998" s="82"/>
      <c r="F998" s="82"/>
      <c r="G998" s="82"/>
    </row>
    <row r="999">
      <c r="A999" s="154"/>
      <c r="B999" s="133"/>
      <c r="C999" s="155"/>
      <c r="D999" s="134"/>
      <c r="E999" s="82"/>
      <c r="F999" s="82"/>
      <c r="G999" s="82"/>
    </row>
    <row r="1000">
      <c r="A1000" s="154"/>
      <c r="B1000" s="133"/>
      <c r="C1000" s="155"/>
      <c r="D1000" s="134"/>
      <c r="E1000" s="82"/>
      <c r="F1000" s="82"/>
      <c r="G1000" s="82"/>
    </row>
  </sheetData>
  <mergeCells count="6">
    <mergeCell ref="I2:M2"/>
    <mergeCell ref="I6:M6"/>
    <mergeCell ref="I10:M10"/>
    <mergeCell ref="I15:J15"/>
    <mergeCell ref="L15:M15"/>
    <mergeCell ref="O15:P15"/>
  </mergeCells>
  <hyperlinks>
    <hyperlink r:id="rId1" ref="F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15.38"/>
    <col customWidth="1" min="3" max="6" width="15.63"/>
    <col customWidth="1" min="7" max="7" width="16.88"/>
    <col customWidth="1" min="8" max="8" width="17.88"/>
    <col customWidth="1" min="9" max="9" width="17.38"/>
  </cols>
  <sheetData>
    <row r="2">
      <c r="A2" s="156" t="s">
        <v>178</v>
      </c>
      <c r="C2" s="157" t="s">
        <v>179</v>
      </c>
      <c r="D2" s="158"/>
      <c r="E2" s="158"/>
      <c r="F2" s="158"/>
      <c r="G2" s="158"/>
      <c r="H2" s="158"/>
      <c r="I2" s="158"/>
    </row>
    <row r="3">
      <c r="A3" s="159"/>
      <c r="B3" s="159"/>
      <c r="C3" s="159"/>
      <c r="D3" s="159"/>
      <c r="E3" s="159"/>
      <c r="F3" s="159"/>
      <c r="G3" s="159"/>
      <c r="H3" s="160"/>
      <c r="I3" s="159"/>
    </row>
    <row r="4">
      <c r="A4" s="161"/>
      <c r="B4" s="161">
        <v>2019.0</v>
      </c>
      <c r="C4" s="161">
        <v>2020.0</v>
      </c>
      <c r="D4" s="161">
        <v>2021.0</v>
      </c>
      <c r="E4" s="161">
        <v>2022.0</v>
      </c>
      <c r="F4" s="161">
        <v>2023.0</v>
      </c>
      <c r="G4" s="161" t="s">
        <v>180</v>
      </c>
      <c r="H4" s="162" t="s">
        <v>181</v>
      </c>
      <c r="I4" s="163" t="s">
        <v>182</v>
      </c>
    </row>
    <row r="5">
      <c r="A5" s="161" t="s">
        <v>183</v>
      </c>
      <c r="B5" s="164">
        <v>0.236</v>
      </c>
      <c r="C5" s="165">
        <v>0.077</v>
      </c>
      <c r="D5" s="165">
        <v>0.073</v>
      </c>
      <c r="E5" s="165">
        <v>0.168</v>
      </c>
      <c r="F5" s="165">
        <v>0.303</v>
      </c>
      <c r="G5" s="165">
        <v>0.235</v>
      </c>
      <c r="H5" s="166">
        <v>0.155</v>
      </c>
      <c r="I5" s="167">
        <v>0.123</v>
      </c>
    </row>
    <row r="6">
      <c r="A6" s="168"/>
      <c r="B6" s="168"/>
      <c r="C6" s="158"/>
      <c r="D6" s="158"/>
      <c r="E6" s="158"/>
      <c r="F6" s="158"/>
      <c r="G6" s="158"/>
      <c r="H6" s="158"/>
      <c r="I6" s="158"/>
    </row>
    <row r="7">
      <c r="A7" s="82"/>
      <c r="B7" s="169"/>
    </row>
    <row r="8">
      <c r="A8" s="82"/>
      <c r="B8" s="169"/>
    </row>
    <row r="9">
      <c r="A9" s="170" t="s">
        <v>184</v>
      </c>
      <c r="B9" s="171" t="s">
        <v>185</v>
      </c>
      <c r="C9" s="172">
        <v>0.031</v>
      </c>
    </row>
    <row r="10">
      <c r="A10" s="173"/>
      <c r="B10" s="171" t="s">
        <v>186</v>
      </c>
      <c r="C10" s="174">
        <v>0.02</v>
      </c>
    </row>
    <row r="11">
      <c r="A11" s="82"/>
    </row>
    <row r="12">
      <c r="A12" s="175" t="s">
        <v>187</v>
      </c>
      <c r="B12" s="176"/>
      <c r="C12" s="176"/>
      <c r="D12" s="176"/>
      <c r="E12" s="177"/>
    </row>
    <row r="13">
      <c r="A13" s="178" t="s">
        <v>188</v>
      </c>
      <c r="B13" s="179">
        <v>23778.89</v>
      </c>
      <c r="D13" s="11" t="s">
        <v>189</v>
      </c>
      <c r="E13" s="180">
        <f>(((B14/B13)^(1/B15)))-1</f>
        <v>0.0211096993</v>
      </c>
    </row>
    <row r="14">
      <c r="A14" s="181" t="s">
        <v>190</v>
      </c>
      <c r="B14" s="179">
        <v>26396.94</v>
      </c>
      <c r="E14" s="182"/>
    </row>
    <row r="15">
      <c r="A15" s="183" t="s">
        <v>191</v>
      </c>
      <c r="B15" s="184">
        <v>5.0</v>
      </c>
      <c r="C15" s="185"/>
      <c r="D15" s="185"/>
      <c r="E15" s="186"/>
    </row>
    <row r="16">
      <c r="A16" s="82"/>
      <c r="B16" s="187"/>
    </row>
    <row r="17">
      <c r="A17" s="188" t="s">
        <v>192</v>
      </c>
      <c r="B17" s="169"/>
    </row>
    <row r="18">
      <c r="A18" s="82"/>
      <c r="B18" s="169"/>
    </row>
    <row r="19">
      <c r="A19" s="82"/>
      <c r="B19" s="169"/>
    </row>
    <row r="20">
      <c r="A20" s="11"/>
      <c r="B20" s="169"/>
    </row>
    <row r="21">
      <c r="A21" s="11"/>
      <c r="B21" s="169"/>
    </row>
    <row r="22">
      <c r="A22" s="11"/>
      <c r="B22" s="169"/>
    </row>
    <row r="23">
      <c r="A23" s="11"/>
      <c r="B23" s="169"/>
    </row>
    <row r="24">
      <c r="A24" s="11"/>
      <c r="B24" s="169"/>
    </row>
    <row r="25">
      <c r="A25" s="11"/>
      <c r="B25" s="169"/>
    </row>
    <row r="26">
      <c r="A26" s="11"/>
      <c r="B26" s="169"/>
    </row>
    <row r="27">
      <c r="A27" s="82"/>
      <c r="B27" s="169"/>
    </row>
    <row r="28">
      <c r="A28" s="82"/>
      <c r="B28" s="169"/>
    </row>
    <row r="29">
      <c r="A29" s="82"/>
      <c r="B29" s="169"/>
    </row>
    <row r="30">
      <c r="A30" s="82"/>
      <c r="B30" s="189"/>
    </row>
    <row r="31">
      <c r="A31" s="82"/>
      <c r="B31" s="169"/>
    </row>
    <row r="32">
      <c r="A32" s="82"/>
      <c r="B32" s="169"/>
    </row>
    <row r="33">
      <c r="A33" s="82"/>
      <c r="B33" s="169"/>
    </row>
    <row r="34">
      <c r="A34" s="82"/>
      <c r="B34" s="190"/>
    </row>
    <row r="36">
      <c r="A36" s="11"/>
    </row>
  </sheetData>
  <mergeCells count="2">
    <mergeCell ref="A2:B2"/>
    <mergeCell ref="A12:E12"/>
  </mergeCells>
  <hyperlinks>
    <hyperlink r:id="rId1" ref="C2"/>
    <hyperlink r:id="rId2" ref="A17"/>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29.25"/>
    <col customWidth="1" min="2" max="2" width="17.63"/>
    <col customWidth="1" min="3" max="3" width="18.63"/>
    <col customWidth="1" min="4" max="4" width="20.88"/>
    <col customWidth="1" min="5" max="5" width="22.5"/>
    <col customWidth="1" min="6" max="6" width="22.75"/>
    <col customWidth="1" min="7" max="7" width="19.75"/>
    <col customWidth="1" min="8" max="8" width="21.13"/>
    <col customWidth="1" min="10" max="10" width="20.25"/>
    <col customWidth="1" min="12" max="12" width="14.5"/>
    <col customWidth="1" min="18" max="18" width="14.38"/>
    <col customWidth="1" min="20" max="20" width="14.13"/>
  </cols>
  <sheetData>
    <row r="1">
      <c r="A1" s="11"/>
      <c r="C1" s="11"/>
    </row>
    <row r="2">
      <c r="A2" s="191" t="s">
        <v>193</v>
      </c>
      <c r="B2" s="192"/>
    </row>
    <row r="3">
      <c r="A3" s="193" t="s">
        <v>194</v>
      </c>
      <c r="B3" s="194">
        <f>0.25</f>
        <v>0.25</v>
      </c>
      <c r="C3" s="195"/>
      <c r="D3" s="196" t="s">
        <v>195</v>
      </c>
      <c r="E3" s="196"/>
    </row>
    <row r="4">
      <c r="A4" s="197" t="s">
        <v>196</v>
      </c>
      <c r="B4" s="198">
        <v>0.04067</v>
      </c>
      <c r="C4" s="11" t="s">
        <v>197</v>
      </c>
    </row>
    <row r="5">
      <c r="A5" s="197" t="s">
        <v>198</v>
      </c>
      <c r="B5" s="199">
        <v>0.0048</v>
      </c>
      <c r="C5" s="11" t="s">
        <v>199</v>
      </c>
      <c r="D5" s="200" t="s">
        <v>200</v>
      </c>
    </row>
    <row r="6">
      <c r="A6" s="197" t="s">
        <v>201</v>
      </c>
      <c r="B6" s="199">
        <v>0.0</v>
      </c>
      <c r="C6" s="11" t="s">
        <v>202</v>
      </c>
      <c r="D6" s="200" t="s">
        <v>203</v>
      </c>
    </row>
    <row r="7">
      <c r="A7" s="201" t="s">
        <v>204</v>
      </c>
      <c r="B7" s="202">
        <f>(B4+B5+B6)</f>
        <v>0.04547</v>
      </c>
    </row>
    <row r="8">
      <c r="A8" s="11"/>
    </row>
    <row r="9">
      <c r="A9" s="11"/>
      <c r="B9" s="203"/>
      <c r="C9" s="204"/>
      <c r="D9" s="205"/>
      <c r="E9" s="22"/>
      <c r="F9" s="22"/>
      <c r="G9" s="22"/>
      <c r="H9" s="22"/>
      <c r="K9" s="22"/>
      <c r="L9" s="22"/>
      <c r="M9" s="22"/>
      <c r="O9" s="206"/>
      <c r="P9" s="206"/>
      <c r="Q9" s="206"/>
      <c r="R9" s="11"/>
      <c r="S9" s="11"/>
      <c r="T9" s="11"/>
    </row>
    <row r="10">
      <c r="A10" s="191" t="s">
        <v>205</v>
      </c>
      <c r="B10" s="192"/>
      <c r="D10" s="22"/>
      <c r="E10" s="22"/>
      <c r="F10" s="22"/>
      <c r="G10" s="22"/>
      <c r="H10" s="22"/>
      <c r="I10" s="22"/>
      <c r="J10" s="54"/>
      <c r="K10" s="207"/>
      <c r="L10" s="207"/>
      <c r="M10" s="54"/>
      <c r="O10" s="206"/>
      <c r="P10" s="208"/>
      <c r="Q10" s="209"/>
      <c r="R10" s="210"/>
    </row>
    <row r="11">
      <c r="A11" s="197" t="s">
        <v>196</v>
      </c>
      <c r="B11" s="198">
        <v>0.04067</v>
      </c>
      <c r="D11" s="22"/>
      <c r="E11" s="207"/>
      <c r="F11" s="207"/>
      <c r="G11" s="207"/>
      <c r="H11" s="207"/>
      <c r="I11" s="211"/>
      <c r="J11" s="212"/>
      <c r="K11" s="213"/>
      <c r="L11" s="213"/>
      <c r="M11" s="54"/>
      <c r="O11" s="206"/>
      <c r="P11" s="214"/>
      <c r="Q11" s="215"/>
      <c r="R11" s="210"/>
    </row>
    <row r="12">
      <c r="A12" s="197" t="s">
        <v>206</v>
      </c>
      <c r="B12" s="216">
        <f>'Bottom-up Beta &amp; CRP'!N20</f>
        <v>0.001663854386</v>
      </c>
      <c r="D12" s="22"/>
      <c r="E12" s="207"/>
      <c r="F12" s="207"/>
      <c r="G12" s="207"/>
      <c r="H12" s="207"/>
      <c r="I12" s="211"/>
      <c r="J12" s="217"/>
      <c r="K12" s="22"/>
      <c r="L12" s="54"/>
      <c r="M12" s="54"/>
      <c r="O12" s="11"/>
      <c r="Q12" s="11"/>
    </row>
    <row r="13">
      <c r="A13" s="197" t="s">
        <v>207</v>
      </c>
      <c r="B13" s="218">
        <f>'Bottom-up Beta &amp; CRP'!G70</f>
        <v>0.4572587023</v>
      </c>
      <c r="D13" s="22"/>
      <c r="E13" s="207"/>
      <c r="F13" s="207"/>
      <c r="G13" s="207"/>
      <c r="H13" s="207"/>
      <c r="I13" s="211"/>
      <c r="J13" s="212"/>
      <c r="K13" s="54"/>
      <c r="L13" s="54"/>
      <c r="M13" s="54"/>
    </row>
    <row r="14">
      <c r="A14" s="197" t="s">
        <v>208</v>
      </c>
      <c r="B14" s="199">
        <v>0.0433</v>
      </c>
      <c r="D14" s="22"/>
      <c r="E14" s="207"/>
      <c r="F14" s="207"/>
      <c r="G14" s="207"/>
      <c r="H14" s="207"/>
      <c r="I14" s="211"/>
      <c r="J14" s="54"/>
      <c r="K14" s="54"/>
      <c r="L14" s="54"/>
      <c r="M14" s="54"/>
    </row>
    <row r="15">
      <c r="A15" s="201" t="s">
        <v>209</v>
      </c>
      <c r="B15" s="202">
        <f>B11+B13*(B14+B12)</f>
        <v>0.06123011371</v>
      </c>
      <c r="C15" s="200" t="s">
        <v>210</v>
      </c>
      <c r="D15" s="22"/>
      <c r="E15" s="207"/>
      <c r="F15" s="207"/>
      <c r="G15" s="207"/>
      <c r="H15" s="207"/>
      <c r="I15" s="211"/>
      <c r="J15" s="54"/>
      <c r="K15" s="54"/>
      <c r="L15" s="54"/>
      <c r="M15" s="54"/>
    </row>
    <row r="16">
      <c r="B16" s="203"/>
      <c r="D16" s="22"/>
      <c r="E16" s="207"/>
      <c r="F16" s="207"/>
      <c r="G16" s="207"/>
      <c r="H16" s="207"/>
      <c r="I16" s="211"/>
      <c r="J16" s="54"/>
      <c r="K16" s="54"/>
      <c r="L16" s="54"/>
      <c r="M16" s="54"/>
    </row>
    <row r="17">
      <c r="A17" s="196"/>
      <c r="B17" s="219"/>
      <c r="C17" s="196"/>
      <c r="D17" s="22"/>
      <c r="E17" s="207"/>
      <c r="F17" s="207"/>
      <c r="G17" s="207"/>
      <c r="H17" s="207"/>
      <c r="I17" s="211"/>
      <c r="J17" s="54"/>
      <c r="K17" s="54"/>
      <c r="L17" s="54"/>
      <c r="M17" s="54"/>
    </row>
    <row r="18">
      <c r="A18" s="191" t="s">
        <v>211</v>
      </c>
      <c r="B18" s="192"/>
      <c r="D18" s="22"/>
      <c r="E18" s="207"/>
      <c r="F18" s="207"/>
      <c r="G18" s="207"/>
      <c r="H18" s="207"/>
      <c r="I18" s="211"/>
      <c r="J18" s="54"/>
      <c r="K18" s="22"/>
      <c r="L18" s="54"/>
      <c r="M18" s="54"/>
    </row>
    <row r="19">
      <c r="A19" s="11" t="s">
        <v>212</v>
      </c>
      <c r="B19" s="218">
        <v>925.08</v>
      </c>
      <c r="D19" s="22"/>
      <c r="E19" s="207"/>
      <c r="F19" s="207"/>
      <c r="G19" s="207"/>
      <c r="H19" s="207"/>
      <c r="I19" s="211"/>
      <c r="J19" s="54"/>
      <c r="L19" s="22"/>
      <c r="M19" s="22"/>
      <c r="N19" s="22"/>
    </row>
    <row r="20">
      <c r="A20" s="11" t="s">
        <v>213</v>
      </c>
      <c r="B20" s="220">
        <v>4.4318E8</v>
      </c>
      <c r="D20" s="22"/>
      <c r="E20" s="207"/>
      <c r="F20" s="207"/>
      <c r="G20" s="207"/>
      <c r="H20" s="207"/>
      <c r="I20" s="211"/>
      <c r="J20" s="54"/>
      <c r="K20" s="22"/>
      <c r="L20" s="55"/>
      <c r="M20" s="54"/>
      <c r="N20" s="190"/>
    </row>
    <row r="21">
      <c r="A21" s="221" t="s">
        <v>211</v>
      </c>
      <c r="B21" s="222">
        <f>B19*B20</f>
        <v>409976954400</v>
      </c>
      <c r="C21" s="223"/>
      <c r="D21" s="22"/>
      <c r="E21" s="207"/>
      <c r="F21" s="207"/>
      <c r="G21" s="207"/>
      <c r="H21" s="207"/>
      <c r="I21" s="211"/>
      <c r="J21" s="54"/>
      <c r="K21" s="22"/>
      <c r="L21" s="54"/>
      <c r="M21" s="54"/>
    </row>
    <row r="22">
      <c r="B22" s="223"/>
      <c r="D22" s="22"/>
      <c r="E22" s="207"/>
      <c r="F22" s="207"/>
      <c r="G22" s="207"/>
      <c r="H22" s="207"/>
      <c r="I22" s="211"/>
      <c r="J22" s="54"/>
      <c r="K22" s="54"/>
      <c r="L22" s="54"/>
      <c r="M22" s="54"/>
    </row>
    <row r="23">
      <c r="A23" s="11"/>
      <c r="D23" s="22"/>
      <c r="E23" s="207"/>
      <c r="F23" s="207"/>
      <c r="G23" s="207"/>
      <c r="H23" s="207"/>
      <c r="I23" s="211"/>
      <c r="J23" s="54"/>
      <c r="K23" s="54"/>
      <c r="L23" s="54"/>
      <c r="M23" s="54"/>
    </row>
    <row r="24">
      <c r="A24" s="191" t="s">
        <v>214</v>
      </c>
      <c r="B24" s="192"/>
      <c r="D24" s="22"/>
      <c r="E24" s="207"/>
      <c r="F24" s="54"/>
      <c r="G24" s="54"/>
      <c r="H24" s="54"/>
      <c r="I24" s="211"/>
      <c r="J24" s="54"/>
      <c r="K24" s="54"/>
      <c r="L24" s="54"/>
      <c r="M24" s="54"/>
    </row>
    <row r="25">
      <c r="A25" s="11" t="s">
        <v>215</v>
      </c>
      <c r="B25" s="224">
        <v>5.713E9</v>
      </c>
      <c r="C25" s="225" t="s">
        <v>203</v>
      </c>
      <c r="D25" s="205"/>
      <c r="E25" s="205"/>
      <c r="F25" s="54"/>
      <c r="G25" s="54"/>
      <c r="H25" s="54"/>
      <c r="I25" s="54"/>
      <c r="J25" s="54"/>
      <c r="K25" s="54"/>
      <c r="L25" s="54"/>
      <c r="M25" s="54"/>
    </row>
    <row r="26">
      <c r="A26" s="11" t="s">
        <v>216</v>
      </c>
      <c r="B26" s="224">
        <f t="shared" ref="B26:B27" si="1">154000</f>
        <v>154000</v>
      </c>
      <c r="C26" s="11" t="s">
        <v>217</v>
      </c>
      <c r="D26" s="200" t="s">
        <v>218</v>
      </c>
      <c r="F26" s="22"/>
      <c r="G26" s="22"/>
      <c r="H26" s="22"/>
      <c r="I26" s="54"/>
      <c r="J26" s="54"/>
      <c r="K26" s="54"/>
      <c r="L26" s="54"/>
      <c r="M26" s="54"/>
    </row>
    <row r="27">
      <c r="A27" s="11" t="s">
        <v>219</v>
      </c>
      <c r="B27" s="224">
        <f t="shared" si="1"/>
        <v>154000</v>
      </c>
      <c r="D27" s="226" t="s">
        <v>220</v>
      </c>
      <c r="E27" s="227" t="s">
        <v>221</v>
      </c>
    </row>
    <row r="28">
      <c r="A28" s="11" t="s">
        <v>222</v>
      </c>
      <c r="B28" s="228">
        <f>B25</f>
        <v>5713000000</v>
      </c>
      <c r="D28" s="197">
        <v>1.6</v>
      </c>
      <c r="E28" s="229">
        <f>2027-2026+5/12</f>
        <v>1.416666667</v>
      </c>
    </row>
    <row r="29">
      <c r="A29" s="11" t="s">
        <v>223</v>
      </c>
      <c r="B29" s="218">
        <f>E32</f>
        <v>3.958333333</v>
      </c>
      <c r="D29" s="197">
        <v>3.0</v>
      </c>
      <c r="E29" s="229">
        <f>2027-2026+6/12</f>
        <v>1.5</v>
      </c>
    </row>
    <row r="30">
      <c r="A30" s="11" t="s">
        <v>224</v>
      </c>
      <c r="B30" s="230">
        <f>B7</f>
        <v>0.04547</v>
      </c>
      <c r="D30" s="197">
        <v>1.75</v>
      </c>
      <c r="E30" s="229">
        <f>2032-2026+5/12</f>
        <v>6.416666667</v>
      </c>
      <c r="F30" s="33"/>
      <c r="H30" s="30"/>
      <c r="I30" s="30"/>
    </row>
    <row r="31">
      <c r="A31" s="231" t="s">
        <v>225</v>
      </c>
      <c r="B31" s="232">
        <f>ABS(PV(B30,B29,B27,B28,1))</f>
        <v>4791531772</v>
      </c>
      <c r="D31" s="233">
        <v>1.375</v>
      </c>
      <c r="E31" s="234">
        <f>2032-2026+6/12</f>
        <v>6.5</v>
      </c>
      <c r="F31" s="92"/>
      <c r="H31" s="34"/>
      <c r="I31" s="235"/>
    </row>
    <row r="32">
      <c r="A32" s="11" t="s">
        <v>226</v>
      </c>
      <c r="B32" s="224">
        <v>2.668E9</v>
      </c>
      <c r="D32" s="233" t="s">
        <v>227</v>
      </c>
      <c r="E32" s="236">
        <f>AVERAGE(E28:E31)</f>
        <v>3.958333333</v>
      </c>
      <c r="F32" s="34"/>
      <c r="G32" s="34"/>
      <c r="H32" s="34"/>
      <c r="I32" s="235"/>
    </row>
    <row r="33">
      <c r="A33" s="237" t="s">
        <v>228</v>
      </c>
      <c r="B33" s="238">
        <f>B31+B32</f>
        <v>7459531772</v>
      </c>
      <c r="D33" s="30"/>
      <c r="E33" s="34"/>
      <c r="F33" s="34"/>
      <c r="G33" s="34"/>
      <c r="H33" s="34"/>
      <c r="I33" s="235"/>
    </row>
    <row r="34">
      <c r="A34" s="2"/>
      <c r="D34" s="30"/>
      <c r="E34" s="34"/>
      <c r="F34" s="34"/>
      <c r="G34" s="34"/>
      <c r="H34" s="34"/>
      <c r="I34" s="235"/>
    </row>
    <row r="35">
      <c r="B35" s="239"/>
      <c r="D35" s="30"/>
      <c r="E35" s="34"/>
      <c r="F35" s="34"/>
      <c r="G35" s="34"/>
      <c r="H35" s="34"/>
      <c r="I35" s="235"/>
    </row>
    <row r="36">
      <c r="A36" s="191" t="s">
        <v>229</v>
      </c>
      <c r="B36" s="192"/>
      <c r="D36" s="30"/>
      <c r="E36" s="34"/>
      <c r="F36" s="34"/>
      <c r="G36" s="34"/>
      <c r="H36" s="34"/>
      <c r="I36" s="235"/>
    </row>
    <row r="37">
      <c r="A37" s="11" t="s">
        <v>193</v>
      </c>
      <c r="B37" s="230">
        <f>B7</f>
        <v>0.04547</v>
      </c>
      <c r="D37" s="30"/>
      <c r="E37" s="34"/>
      <c r="F37" s="34"/>
      <c r="G37" s="34"/>
      <c r="H37" s="34"/>
      <c r="I37" s="235"/>
    </row>
    <row r="38">
      <c r="A38" s="11" t="s">
        <v>205</v>
      </c>
      <c r="B38" s="240">
        <f>B15</f>
        <v>0.06123011371</v>
      </c>
      <c r="D38" s="30"/>
      <c r="E38" s="34"/>
      <c r="F38" s="34"/>
      <c r="G38" s="34"/>
      <c r="H38" s="34"/>
      <c r="I38" s="235"/>
    </row>
    <row r="39">
      <c r="A39" s="11" t="s">
        <v>230</v>
      </c>
      <c r="B39" s="241">
        <f>B21</f>
        <v>409976954400</v>
      </c>
      <c r="D39" s="30"/>
      <c r="E39" s="34"/>
      <c r="F39" s="34"/>
      <c r="G39" s="34"/>
      <c r="H39" s="34"/>
      <c r="I39" s="235"/>
    </row>
    <row r="40">
      <c r="A40" s="11" t="s">
        <v>231</v>
      </c>
      <c r="B40" s="241">
        <f>B33</f>
        <v>7459531772</v>
      </c>
      <c r="E40" s="34"/>
      <c r="F40" s="34"/>
      <c r="G40" s="34"/>
      <c r="H40" s="34"/>
      <c r="I40" s="235"/>
    </row>
    <row r="41">
      <c r="A41" s="242" t="s">
        <v>232</v>
      </c>
      <c r="B41" s="243">
        <f>B38*(B39/(B39+B40))+B37*(1-0.25)*(B40/(B39+B40))</f>
        <v>0.06074534704</v>
      </c>
      <c r="D41" s="244" t="s">
        <v>233</v>
      </c>
      <c r="E41" s="34"/>
      <c r="F41" s="34"/>
      <c r="G41" s="34"/>
      <c r="H41" s="34"/>
      <c r="I41" s="235"/>
    </row>
    <row r="42">
      <c r="D42" s="30"/>
      <c r="E42" s="34"/>
      <c r="F42" s="34"/>
      <c r="G42" s="34"/>
      <c r="H42" s="34"/>
      <c r="I42" s="235"/>
    </row>
    <row r="43">
      <c r="D43" s="30"/>
      <c r="E43" s="34"/>
      <c r="F43" s="34"/>
      <c r="G43" s="34"/>
      <c r="H43" s="34"/>
      <c r="I43" s="235"/>
    </row>
    <row r="44">
      <c r="D44" s="30"/>
      <c r="E44" s="34"/>
      <c r="F44" s="34"/>
      <c r="G44" s="34"/>
      <c r="H44" s="34"/>
      <c r="I44" s="235"/>
    </row>
    <row r="45">
      <c r="D45" s="30"/>
      <c r="E45" s="34"/>
      <c r="F45" s="34"/>
      <c r="G45" s="34"/>
      <c r="H45" s="34"/>
      <c r="I45" s="235"/>
    </row>
    <row r="46">
      <c r="D46" s="30"/>
      <c r="E46" s="34"/>
      <c r="F46" s="34"/>
      <c r="G46" s="34"/>
      <c r="H46" s="34"/>
      <c r="I46" s="235"/>
    </row>
    <row r="47">
      <c r="D47" s="30"/>
      <c r="E47" s="34"/>
      <c r="F47" s="34"/>
      <c r="G47" s="34"/>
      <c r="H47" s="34"/>
      <c r="I47" s="235"/>
    </row>
    <row r="48">
      <c r="B48" s="190"/>
      <c r="D48" s="30"/>
      <c r="E48" s="34"/>
      <c r="F48" s="34"/>
      <c r="G48" s="34"/>
      <c r="H48" s="34"/>
      <c r="I48" s="235"/>
    </row>
    <row r="49">
      <c r="B49" s="190"/>
      <c r="D49" s="15"/>
      <c r="E49" s="245"/>
      <c r="F49" s="245"/>
      <c r="G49" s="245"/>
      <c r="H49" s="245"/>
      <c r="I49" s="245"/>
    </row>
    <row r="50">
      <c r="B50" s="190"/>
      <c r="E50" s="179"/>
    </row>
    <row r="51">
      <c r="B51" s="190"/>
    </row>
    <row r="52">
      <c r="B52" s="190"/>
      <c r="C52" s="190"/>
    </row>
    <row r="53">
      <c r="B53" s="190"/>
      <c r="C53" s="190"/>
    </row>
    <row r="54">
      <c r="B54" s="190"/>
      <c r="C54" s="190"/>
    </row>
    <row r="55">
      <c r="B55" s="190"/>
      <c r="C55" s="190"/>
    </row>
    <row r="56">
      <c r="B56" s="190"/>
      <c r="C56" s="190"/>
    </row>
    <row r="57">
      <c r="B57" s="190"/>
      <c r="C57" s="190"/>
    </row>
    <row r="58">
      <c r="B58" s="190"/>
      <c r="C58" s="190"/>
    </row>
    <row r="59">
      <c r="B59" s="190"/>
      <c r="C59" s="190"/>
    </row>
    <row r="60">
      <c r="B60" s="190"/>
      <c r="C60" s="190"/>
      <c r="D60" s="246" t="s">
        <v>234</v>
      </c>
      <c r="E60" s="246" t="s">
        <v>235</v>
      </c>
      <c r="F60" s="246" t="s">
        <v>236</v>
      </c>
      <c r="G60" s="246" t="s">
        <v>237</v>
      </c>
      <c r="H60" s="246" t="s">
        <v>238</v>
      </c>
      <c r="I60" s="246" t="s">
        <v>239</v>
      </c>
    </row>
    <row r="61">
      <c r="B61" s="190"/>
      <c r="C61" s="190"/>
      <c r="D61" s="246" t="s">
        <v>240</v>
      </c>
      <c r="E61" s="247">
        <v>1.141680295</v>
      </c>
      <c r="F61" s="247">
        <v>4033205.551</v>
      </c>
      <c r="G61" s="247">
        <v>89931.0</v>
      </c>
      <c r="H61" s="247">
        <v>22446.0</v>
      </c>
      <c r="I61" s="248">
        <v>0.027862949</v>
      </c>
    </row>
    <row r="62">
      <c r="C62" s="190"/>
      <c r="D62" s="246" t="s">
        <v>241</v>
      </c>
      <c r="E62" s="247">
        <v>1.154988728</v>
      </c>
      <c r="F62" s="247">
        <v>489084.5719</v>
      </c>
      <c r="G62" s="247">
        <v>15782.039</v>
      </c>
      <c r="H62" s="247">
        <v>2212.935</v>
      </c>
      <c r="I62" s="248">
        <v>0.036793175</v>
      </c>
    </row>
    <row r="63">
      <c r="C63" s="190"/>
      <c r="D63" s="246" t="s">
        <v>242</v>
      </c>
      <c r="E63" s="247">
        <v>1.378991633</v>
      </c>
      <c r="F63" s="247">
        <v>2539781.52</v>
      </c>
      <c r="G63" s="247">
        <v>130900.0</v>
      </c>
      <c r="H63" s="247">
        <v>16938.0</v>
      </c>
      <c r="I63" s="248">
        <v>0.058208944</v>
      </c>
    </row>
    <row r="64">
      <c r="C64" s="190"/>
      <c r="D64" s="246" t="s">
        <v>243</v>
      </c>
      <c r="E64" s="247">
        <v>0.968693049</v>
      </c>
      <c r="F64" s="247">
        <v>134541.764</v>
      </c>
      <c r="G64" s="247">
        <v>2001.0</v>
      </c>
      <c r="H64" s="247">
        <v>75.0</v>
      </c>
      <c r="I64" s="248">
        <v>0.015430153</v>
      </c>
    </row>
    <row r="65">
      <c r="C65" s="190"/>
      <c r="D65" s="246" t="s">
        <v>244</v>
      </c>
      <c r="E65" s="247">
        <v>0.626046325</v>
      </c>
      <c r="F65" s="247">
        <v>8924.958423</v>
      </c>
      <c r="G65" s="247">
        <v>2553.373</v>
      </c>
      <c r="H65" s="247">
        <v>59.531</v>
      </c>
      <c r="I65" s="248">
        <v>0.292763717</v>
      </c>
    </row>
    <row r="66">
      <c r="D66" s="246" t="s">
        <v>245</v>
      </c>
      <c r="E66" s="247">
        <v>0.99679124</v>
      </c>
      <c r="F66" s="247">
        <v>3740641.35</v>
      </c>
      <c r="G66" s="247">
        <v>100589.0</v>
      </c>
      <c r="H66" s="247">
        <v>11595.0</v>
      </c>
      <c r="I66" s="248">
        <v>0.029990579</v>
      </c>
    </row>
    <row r="67">
      <c r="D67" s="249" t="s">
        <v>246</v>
      </c>
      <c r="E67" s="250">
        <v>0.832428083</v>
      </c>
      <c r="F67" s="250">
        <v>7865.675358</v>
      </c>
      <c r="G67" s="250">
        <v>2798.4</v>
      </c>
      <c r="H67" s="250">
        <v>198.2</v>
      </c>
      <c r="I67" s="248">
        <v>0.380971736</v>
      </c>
    </row>
    <row r="68">
      <c r="A68" s="251"/>
      <c r="D68" s="249" t="s">
        <v>247</v>
      </c>
      <c r="E68" s="247">
        <v>0.976565395</v>
      </c>
      <c r="F68" s="247">
        <v>309411.0759</v>
      </c>
      <c r="G68" s="248">
        <v>6761.0</v>
      </c>
      <c r="H68" s="248">
        <v>3990.0</v>
      </c>
      <c r="I68" s="248">
        <v>0.034746655</v>
      </c>
    </row>
    <row r="69">
      <c r="D69" s="249" t="s">
        <v>248</v>
      </c>
      <c r="E69" s="247">
        <v>1.28765916</v>
      </c>
      <c r="F69" s="247">
        <v>190703.2724</v>
      </c>
      <c r="G69" s="248">
        <v>9975.0</v>
      </c>
      <c r="H69" s="248">
        <v>311.0</v>
      </c>
      <c r="I69" s="248">
        <v>0.053937197</v>
      </c>
    </row>
    <row r="70">
      <c r="D70" s="249" t="s">
        <v>249</v>
      </c>
      <c r="E70" s="247">
        <v>1.063319343</v>
      </c>
      <c r="F70" s="247">
        <v>139644.96</v>
      </c>
      <c r="G70" s="248">
        <v>4482.0</v>
      </c>
      <c r="H70" s="248">
        <v>1574.0</v>
      </c>
      <c r="I70" s="248">
        <v>0.043367122</v>
      </c>
    </row>
    <row r="71">
      <c r="D71" s="249" t="s">
        <v>250</v>
      </c>
      <c r="E71" s="248">
        <v>0.822114646</v>
      </c>
      <c r="F71" s="247">
        <v>192114.9327</v>
      </c>
      <c r="G71" s="247">
        <v>35315.0</v>
      </c>
      <c r="H71" s="247">
        <v>6711.0</v>
      </c>
      <c r="I71" s="248">
        <v>0.218754469</v>
      </c>
    </row>
    <row r="72">
      <c r="D72" s="249" t="s">
        <v>251</v>
      </c>
      <c r="E72" s="247">
        <v>1.064198547</v>
      </c>
      <c r="F72" s="247">
        <v>3364709.59</v>
      </c>
      <c r="G72" s="247">
        <v>22574.0</v>
      </c>
      <c r="H72" s="247">
        <v>3122.0</v>
      </c>
      <c r="I72" s="248">
        <v>0.007636915</v>
      </c>
    </row>
    <row r="73">
      <c r="D73" s="246" t="s">
        <v>252</v>
      </c>
      <c r="E73" s="247">
        <v>0.952965539</v>
      </c>
      <c r="F73" s="247">
        <v>5616.446702</v>
      </c>
      <c r="G73" s="247">
        <v>3894.251</v>
      </c>
      <c r="H73" s="247">
        <v>93.046</v>
      </c>
      <c r="I73" s="248">
        <v>0.709932313</v>
      </c>
    </row>
    <row r="74">
      <c r="D74" s="246" t="s">
        <v>253</v>
      </c>
      <c r="E74" s="247">
        <v>2.109082711</v>
      </c>
      <c r="F74" s="247">
        <v>3054.16531</v>
      </c>
      <c r="G74" s="247">
        <v>1698.0</v>
      </c>
      <c r="H74" s="247">
        <v>278.6</v>
      </c>
      <c r="I74" s="248">
        <v>0.647181734</v>
      </c>
    </row>
    <row r="75">
      <c r="D75" s="246" t="s">
        <v>254</v>
      </c>
      <c r="E75" s="247">
        <v>1.368155565</v>
      </c>
      <c r="F75" s="247">
        <v>228889.36</v>
      </c>
      <c r="G75" s="247">
        <v>11154.0</v>
      </c>
      <c r="H75" s="247">
        <v>916.0</v>
      </c>
      <c r="I75" s="248">
        <v>0.052732901</v>
      </c>
    </row>
    <row r="76">
      <c r="D76" s="246" t="s">
        <v>255</v>
      </c>
      <c r="E76" s="247">
        <v>0.910555772</v>
      </c>
      <c r="F76" s="247">
        <v>25944.92788</v>
      </c>
      <c r="G76" s="247">
        <v>37.406</v>
      </c>
      <c r="H76" s="247">
        <v>27.026</v>
      </c>
      <c r="I76" s="248">
        <v>0.002483414</v>
      </c>
    </row>
    <row r="77">
      <c r="D77" s="246" t="s">
        <v>52</v>
      </c>
      <c r="E77" s="247">
        <v>0.138974586</v>
      </c>
      <c r="F77" s="247">
        <v>12383.5</v>
      </c>
      <c r="G77" s="247">
        <v>2412.769</v>
      </c>
      <c r="H77" s="247">
        <v>367.528</v>
      </c>
      <c r="I77" s="248">
        <v>0.224516251</v>
      </c>
    </row>
    <row r="78">
      <c r="D78" s="246" t="s">
        <v>40</v>
      </c>
      <c r="E78" s="247">
        <v>0.727487569</v>
      </c>
      <c r="F78" s="247">
        <v>817536.154</v>
      </c>
      <c r="G78" s="247">
        <v>52149.0</v>
      </c>
      <c r="H78" s="250">
        <v>7965.0</v>
      </c>
      <c r="I78" s="248">
        <v>0.073530693</v>
      </c>
    </row>
    <row r="79">
      <c r="D79" s="252" t="s">
        <v>227</v>
      </c>
      <c r="E79" s="253">
        <f>AVERAGE(E61:E78)</f>
        <v>1.028927677</v>
      </c>
      <c r="F79" s="82"/>
      <c r="G79" s="254"/>
      <c r="H79" s="82"/>
      <c r="I79" s="255">
        <f>AVERAGE(I61:I78)</f>
        <v>0.1617133843</v>
      </c>
    </row>
    <row r="80">
      <c r="D80" s="82"/>
      <c r="E80" s="256"/>
      <c r="F80" s="82"/>
      <c r="G80" s="254"/>
      <c r="H80" s="82"/>
      <c r="I80" s="82"/>
    </row>
    <row r="81">
      <c r="D81" s="190"/>
      <c r="E81" s="190"/>
      <c r="G81" s="11"/>
    </row>
    <row r="82">
      <c r="D82" s="190"/>
      <c r="E82" s="190"/>
    </row>
    <row r="83">
      <c r="D83" s="190"/>
      <c r="E83" s="190"/>
    </row>
    <row r="84">
      <c r="D84" s="190"/>
      <c r="E84" s="190"/>
    </row>
    <row r="85">
      <c r="D85" s="190"/>
      <c r="E85" s="190"/>
    </row>
    <row r="86">
      <c r="D86" s="190"/>
      <c r="E86" s="190"/>
    </row>
    <row r="87">
      <c r="D87" s="190"/>
      <c r="E87" s="190"/>
    </row>
    <row r="88">
      <c r="D88" s="190"/>
      <c r="E88" s="190"/>
    </row>
    <row r="89">
      <c r="D89" s="190"/>
      <c r="E89" s="190"/>
    </row>
    <row r="90">
      <c r="D90" s="190"/>
      <c r="E90" s="190"/>
    </row>
    <row r="91">
      <c r="B91" s="257"/>
      <c r="D91" s="190"/>
      <c r="E91" s="190"/>
    </row>
    <row r="92">
      <c r="B92" s="258"/>
      <c r="D92" s="190"/>
      <c r="E92" s="190"/>
    </row>
    <row r="93">
      <c r="E93" s="190"/>
      <c r="G93" s="259"/>
    </row>
    <row r="94">
      <c r="B94" s="260"/>
    </row>
    <row r="96">
      <c r="B96" s="223"/>
      <c r="E96" s="261"/>
      <c r="I96" s="11"/>
      <c r="J96" s="11"/>
    </row>
    <row r="97">
      <c r="I97" s="11"/>
    </row>
    <row r="98">
      <c r="B98" s="204"/>
      <c r="I98" s="11"/>
    </row>
    <row r="99">
      <c r="B99" s="262"/>
      <c r="E99" s="263"/>
      <c r="F99" s="264"/>
      <c r="I99" s="11"/>
    </row>
    <row r="100">
      <c r="E100" s="263"/>
      <c r="I100" s="11"/>
    </row>
    <row r="101">
      <c r="B101" s="190"/>
      <c r="I101" s="11"/>
    </row>
    <row r="102">
      <c r="E102" s="263"/>
    </row>
    <row r="103">
      <c r="E103" s="239"/>
    </row>
    <row r="106">
      <c r="B106" s="257"/>
    </row>
    <row r="107">
      <c r="B107" s="258"/>
    </row>
    <row r="109">
      <c r="B109" s="260"/>
    </row>
    <row r="111">
      <c r="B111" s="223"/>
    </row>
    <row r="112">
      <c r="B112" s="239"/>
    </row>
    <row r="113">
      <c r="B113" s="204"/>
    </row>
    <row r="114">
      <c r="B114" s="190"/>
    </row>
  </sheetData>
  <mergeCells count="2">
    <mergeCell ref="A1:B1"/>
    <mergeCell ref="H9:J9"/>
  </mergeCells>
  <hyperlinks>
    <hyperlink r:id="rId1" location=":~:text=Rates%20%3E%20Corporate%20Bonds-,ICE%20BofA%20AA%20US%20Corporate%20Index%20Option%2DAdjusted%20Spread%20(BAMLC0A2CAA,Release%20Date:%20Nov%2011%2C%202025" ref="D5"/>
    <hyperlink r:id="rId2" ref="D6"/>
    <hyperlink r:id="rId3" ref="C15"/>
    <hyperlink r:id="rId4" ref="C25"/>
    <hyperlink r:id="rId5" ref="D26"/>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33.38"/>
    <col customWidth="1" min="2" max="2" width="16.63"/>
    <col customWidth="1" min="6" max="6" width="19.63"/>
    <col customWidth="1" min="16" max="16" width="25.38"/>
    <col customWidth="1" min="17" max="17" width="28.13"/>
    <col customWidth="1" min="18" max="18" width="25.38"/>
  </cols>
  <sheetData>
    <row r="1">
      <c r="F1" s="15" t="s">
        <v>256</v>
      </c>
      <c r="G1" s="15" t="s">
        <v>257</v>
      </c>
      <c r="K1" s="15" t="s">
        <v>258</v>
      </c>
      <c r="L1" s="265"/>
      <c r="M1" s="266"/>
      <c r="N1" s="22" t="s">
        <v>259</v>
      </c>
      <c r="O1" s="22" t="s">
        <v>260</v>
      </c>
      <c r="P1" s="22" t="s">
        <v>261</v>
      </c>
      <c r="Q1" s="22" t="s">
        <v>262</v>
      </c>
    </row>
    <row r="2">
      <c r="A2" s="19" t="s">
        <v>263</v>
      </c>
      <c r="K2" s="267" t="s">
        <v>264</v>
      </c>
      <c r="N2" s="9">
        <f>O2/P2</f>
        <v>0.2513403587</v>
      </c>
      <c r="O2" s="9">
        <f>2719</f>
        <v>2719</v>
      </c>
      <c r="P2" s="9">
        <f>10818</f>
        <v>10818</v>
      </c>
      <c r="Q2" s="9">
        <f>1395+449+955</f>
        <v>2799</v>
      </c>
    </row>
    <row r="3">
      <c r="A3" s="11" t="s">
        <v>265</v>
      </c>
      <c r="K3" s="15"/>
    </row>
    <row r="4">
      <c r="A4" s="226" t="s">
        <v>34</v>
      </c>
      <c r="B4" s="268">
        <f>10383000</f>
        <v>10383000</v>
      </c>
      <c r="C4" s="225" t="s">
        <v>266</v>
      </c>
    </row>
    <row r="5">
      <c r="A5" s="193" t="s">
        <v>259</v>
      </c>
      <c r="B5" s="269">
        <f>N2</f>
        <v>0.2513403587</v>
      </c>
    </row>
    <row r="6">
      <c r="A6" s="197" t="s">
        <v>196</v>
      </c>
      <c r="B6" s="270">
        <v>0.04067</v>
      </c>
      <c r="C6" s="11" t="s">
        <v>197</v>
      </c>
    </row>
    <row r="7">
      <c r="A7" s="197" t="s">
        <v>198</v>
      </c>
      <c r="B7" s="271">
        <v>0.0048</v>
      </c>
      <c r="C7" s="11" t="s">
        <v>199</v>
      </c>
      <c r="D7" s="200" t="s">
        <v>200</v>
      </c>
    </row>
    <row r="8">
      <c r="A8" s="197" t="s">
        <v>201</v>
      </c>
      <c r="B8" s="272">
        <v>0.0</v>
      </c>
      <c r="C8" s="11" t="s">
        <v>202</v>
      </c>
      <c r="D8" s="200" t="s">
        <v>203</v>
      </c>
    </row>
    <row r="9">
      <c r="A9" s="273" t="s">
        <v>204</v>
      </c>
      <c r="B9" s="274">
        <f>(B6+B7+B8)</f>
        <v>0.04547</v>
      </c>
    </row>
    <row r="10">
      <c r="A10" s="275"/>
      <c r="B10" s="276"/>
    </row>
    <row r="11">
      <c r="A11" s="197" t="s">
        <v>267</v>
      </c>
      <c r="B11" s="277">
        <f>271000</f>
        <v>271000</v>
      </c>
    </row>
    <row r="12">
      <c r="A12" s="197" t="s">
        <v>268</v>
      </c>
      <c r="B12" s="278">
        <f>20</f>
        <v>20</v>
      </c>
    </row>
    <row r="13">
      <c r="A13" s="197" t="s">
        <v>269</v>
      </c>
      <c r="B13" s="277">
        <f>5805*1000</f>
        <v>5805000</v>
      </c>
    </row>
    <row r="14">
      <c r="A14" s="279" t="s">
        <v>270</v>
      </c>
      <c r="B14" s="280">
        <v>0.0</v>
      </c>
    </row>
    <row r="15">
      <c r="A15" s="197" t="s">
        <v>271</v>
      </c>
      <c r="B15" s="281">
        <v>0.0</v>
      </c>
    </row>
    <row r="16">
      <c r="A16" s="197" t="s">
        <v>272</v>
      </c>
      <c r="B16" s="282">
        <f>B4+(B11-E32)</f>
        <v>10519600</v>
      </c>
    </row>
    <row r="17">
      <c r="A17" s="226" t="s">
        <v>273</v>
      </c>
      <c r="B17" s="283">
        <f>B16*(1-B5)</f>
        <v>7875599.963</v>
      </c>
      <c r="D17" s="11" t="s">
        <v>274</v>
      </c>
    </row>
    <row r="18">
      <c r="A18" s="284" t="s">
        <v>275</v>
      </c>
      <c r="B18" s="277">
        <f>5498*1000</f>
        <v>5498000</v>
      </c>
      <c r="D18" s="225" t="s">
        <v>218</v>
      </c>
      <c r="E18" s="1" t="s">
        <v>276</v>
      </c>
    </row>
    <row r="19">
      <c r="A19" s="285" t="s">
        <v>277</v>
      </c>
      <c r="B19" s="286">
        <f>2426*1000</f>
        <v>2426000</v>
      </c>
      <c r="C19" s="196"/>
      <c r="D19" s="287" t="s">
        <v>218</v>
      </c>
    </row>
    <row r="20">
      <c r="A20" s="197" t="s">
        <v>278</v>
      </c>
      <c r="B20" s="288">
        <f>B18-B19</f>
        <v>3072000</v>
      </c>
    </row>
    <row r="21">
      <c r="A21" s="197" t="s">
        <v>279</v>
      </c>
      <c r="B21" s="289">
        <f>18647*1000</f>
        <v>18647000</v>
      </c>
    </row>
    <row r="22">
      <c r="A22" s="197" t="s">
        <v>280</v>
      </c>
      <c r="B22" s="290">
        <f>18116*1000</f>
        <v>18116000</v>
      </c>
    </row>
    <row r="23">
      <c r="A23" s="197" t="s">
        <v>281</v>
      </c>
      <c r="B23" s="282">
        <f>2721*1000</f>
        <v>2721000</v>
      </c>
      <c r="C23" s="291" t="s">
        <v>282</v>
      </c>
    </row>
    <row r="24">
      <c r="A24" s="197" t="s">
        <v>283</v>
      </c>
      <c r="B24" s="282">
        <f>3203*1000</f>
        <v>3203000</v>
      </c>
    </row>
    <row r="25">
      <c r="A25" s="197" t="s">
        <v>284</v>
      </c>
      <c r="B25" s="282">
        <f>19421*1000</f>
        <v>19421000</v>
      </c>
    </row>
    <row r="26">
      <c r="A26" s="197" t="s">
        <v>285</v>
      </c>
      <c r="B26" s="282">
        <f>19783*1000</f>
        <v>19783000</v>
      </c>
    </row>
    <row r="27">
      <c r="A27" s="284" t="s">
        <v>286</v>
      </c>
      <c r="B27" s="290">
        <f t="shared" ref="B27:B28" si="1">(B21+B23)-B25</f>
        <v>1947000</v>
      </c>
    </row>
    <row r="28">
      <c r="A28" s="284" t="s">
        <v>287</v>
      </c>
      <c r="B28" s="290">
        <f t="shared" si="1"/>
        <v>1536000</v>
      </c>
    </row>
    <row r="29">
      <c r="A29" s="284" t="s">
        <v>288</v>
      </c>
      <c r="B29" s="292">
        <f>B28-B27</f>
        <v>-411000</v>
      </c>
    </row>
    <row r="30">
      <c r="A30" s="293" t="s">
        <v>289</v>
      </c>
      <c r="B30" s="294">
        <f>B17-B20-B29</f>
        <v>5214599.963</v>
      </c>
    </row>
    <row r="32">
      <c r="C32" s="295" t="s">
        <v>290</v>
      </c>
      <c r="D32" s="296"/>
      <c r="E32" s="297">
        <f>(2688/B12)*1000</f>
        <v>134400</v>
      </c>
    </row>
  </sheetData>
  <mergeCells count="2">
    <mergeCell ref="A2:B2"/>
    <mergeCell ref="E18:F18"/>
  </mergeCells>
  <hyperlinks>
    <hyperlink r:id="rId1" ref="C4"/>
    <hyperlink r:id="rId2" location=":~:text=Rates%20%3E%20Corporate%20Bonds-,ICE%20BofA%20AA%20US%20Corporate%20Index%20Option%2DAdjusted%20Spread%20(BAMLC0A2CAA,Release%20Date:%20Nov%2011%2C%202025" ref="D7"/>
    <hyperlink r:id="rId3" ref="D8"/>
    <hyperlink r:id="rId4" ref="D18"/>
    <hyperlink r:id="rId5" ref="D19"/>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5"/>
    <col customWidth="1" min="4" max="4" width="18.88"/>
    <col customWidth="1" min="5" max="5" width="11.75"/>
    <col customWidth="1" min="6" max="6" width="14.63"/>
    <col customWidth="1" min="7" max="7" width="15.88"/>
    <col customWidth="1" min="8" max="8" width="16.63"/>
    <col customWidth="1" min="9" max="9" width="20.25"/>
    <col customWidth="1" min="11" max="11" width="16.25"/>
    <col customWidth="1" min="13" max="13" width="14.63"/>
    <col customWidth="1" min="17" max="17" width="32.63"/>
    <col customWidth="1" min="18" max="18" width="8.75"/>
    <col customWidth="1" min="19" max="19" width="14.0"/>
    <col customWidth="1" min="20" max="20" width="7.63"/>
    <col customWidth="1" min="22" max="22" width="22.38"/>
  </cols>
  <sheetData>
    <row r="1">
      <c r="A1" s="298"/>
      <c r="B1" s="113"/>
      <c r="C1" s="113"/>
      <c r="D1" s="113"/>
      <c r="E1" s="113"/>
      <c r="F1" s="113"/>
      <c r="G1" s="113"/>
      <c r="H1" s="113"/>
    </row>
    <row r="2">
      <c r="A2" s="113"/>
      <c r="B2" s="113"/>
      <c r="C2" s="113"/>
      <c r="D2" s="113"/>
      <c r="E2" s="113"/>
      <c r="F2" s="113"/>
      <c r="G2" s="113"/>
      <c r="H2" s="113"/>
    </row>
    <row r="3">
      <c r="A3" s="113"/>
      <c r="B3" s="113"/>
      <c r="C3" s="113"/>
      <c r="D3" s="113"/>
      <c r="E3" s="113"/>
      <c r="F3" s="113"/>
      <c r="G3" s="113"/>
      <c r="H3" s="113"/>
    </row>
    <row r="4">
      <c r="A4" s="113"/>
      <c r="B4" s="113"/>
      <c r="C4" s="299" t="s">
        <v>291</v>
      </c>
      <c r="D4" s="300"/>
      <c r="E4" s="300"/>
      <c r="F4" s="300"/>
      <c r="G4" s="300"/>
      <c r="H4" s="301"/>
      <c r="K4" s="302" t="s">
        <v>292</v>
      </c>
      <c r="L4" s="300"/>
      <c r="M4" s="300"/>
      <c r="N4" s="301"/>
      <c r="Q4" s="303" t="s">
        <v>293</v>
      </c>
      <c r="R4" s="300"/>
      <c r="S4" s="300"/>
      <c r="T4" s="301"/>
      <c r="U4" s="304"/>
      <c r="V4" s="304"/>
    </row>
    <row r="5">
      <c r="A5" s="113"/>
      <c r="B5" s="113"/>
      <c r="C5" s="305" t="s">
        <v>294</v>
      </c>
      <c r="D5" s="306" t="s">
        <v>207</v>
      </c>
      <c r="E5" s="306" t="s">
        <v>295</v>
      </c>
      <c r="F5" s="306" t="s">
        <v>296</v>
      </c>
      <c r="G5" s="306" t="s">
        <v>297</v>
      </c>
      <c r="H5" s="307" t="s">
        <v>259</v>
      </c>
      <c r="K5" s="308" t="s">
        <v>298</v>
      </c>
      <c r="L5" s="309" t="s">
        <v>299</v>
      </c>
      <c r="M5" s="309" t="s">
        <v>300</v>
      </c>
      <c r="N5" s="310" t="s">
        <v>301</v>
      </c>
      <c r="Q5" s="311" t="s">
        <v>298</v>
      </c>
      <c r="R5" s="312" t="s">
        <v>302</v>
      </c>
      <c r="S5" s="312" t="s">
        <v>303</v>
      </c>
      <c r="T5" s="313" t="s">
        <v>304</v>
      </c>
    </row>
    <row r="6">
      <c r="A6" s="113"/>
      <c r="B6" s="113"/>
      <c r="C6" s="314"/>
      <c r="D6" s="30" t="s">
        <v>235</v>
      </c>
      <c r="E6" s="30" t="s">
        <v>295</v>
      </c>
      <c r="F6" s="30" t="s">
        <v>296</v>
      </c>
      <c r="G6" s="30" t="s">
        <v>297</v>
      </c>
      <c r="H6" s="218" t="s">
        <v>259</v>
      </c>
      <c r="K6" s="197" t="s">
        <v>305</v>
      </c>
      <c r="L6" s="190">
        <v>0.0</v>
      </c>
      <c r="M6" s="190">
        <v>0.724</v>
      </c>
      <c r="N6" s="240">
        <f t="shared" ref="N6:N19" si="1">L6*M6</f>
        <v>0</v>
      </c>
      <c r="Q6" s="197" t="s">
        <v>305</v>
      </c>
      <c r="R6" s="11">
        <v>617.0</v>
      </c>
      <c r="T6" s="229">
        <v>0.724</v>
      </c>
    </row>
    <row r="7">
      <c r="A7" s="113"/>
      <c r="B7" s="113"/>
      <c r="C7" s="315" t="s">
        <v>40</v>
      </c>
      <c r="D7" s="34">
        <v>0.818609059</v>
      </c>
      <c r="E7" s="34">
        <v>51077.0</v>
      </c>
      <c r="F7" s="34">
        <v>97692.0</v>
      </c>
      <c r="G7" s="316">
        <f t="shared" ref="G7:G20" si="2">E7/F7</f>
        <v>0.5228370798</v>
      </c>
      <c r="H7" s="317">
        <v>0.23383632980000002</v>
      </c>
      <c r="K7" s="197" t="s">
        <v>306</v>
      </c>
      <c r="L7" s="190">
        <v>0.0</v>
      </c>
      <c r="M7" s="190">
        <v>0.137</v>
      </c>
      <c r="N7" s="240">
        <f t="shared" si="1"/>
        <v>0</v>
      </c>
      <c r="Q7" s="197" t="s">
        <v>306</v>
      </c>
      <c r="R7" s="11">
        <v>109.0</v>
      </c>
      <c r="T7" s="229">
        <v>0.137</v>
      </c>
    </row>
    <row r="8">
      <c r="A8" s="113"/>
      <c r="B8" s="113"/>
      <c r="C8" s="315" t="s">
        <v>42</v>
      </c>
      <c r="D8" s="34">
        <v>0.75077498</v>
      </c>
      <c r="E8" s="34">
        <v>15113.0</v>
      </c>
      <c r="F8" s="34">
        <v>14666.0</v>
      </c>
      <c r="G8" s="316">
        <f t="shared" si="2"/>
        <v>1.030478658</v>
      </c>
      <c r="H8" s="317">
        <v>0.2223911804</v>
      </c>
      <c r="K8" s="197" t="s">
        <v>307</v>
      </c>
      <c r="L8" s="190">
        <v>0.0254</v>
      </c>
      <c r="M8" s="190">
        <v>0.03332748538011696</v>
      </c>
      <c r="N8" s="230">
        <f t="shared" si="1"/>
        <v>0.0008465181287</v>
      </c>
      <c r="Q8" s="197" t="s">
        <v>307</v>
      </c>
      <c r="R8" s="11">
        <v>41.0</v>
      </c>
      <c r="S8" s="9">
        <f t="shared" ref="S8:S19" si="3">R8/$R$20</f>
        <v>0.2397660819</v>
      </c>
      <c r="T8" s="318">
        <f t="shared" ref="T8:T19" si="4">S8*$N$33</f>
        <v>0.03332748538</v>
      </c>
    </row>
    <row r="9">
      <c r="A9" s="113"/>
      <c r="B9" s="113"/>
      <c r="C9" s="315" t="s">
        <v>308</v>
      </c>
      <c r="D9" s="34">
        <v>0.219281301</v>
      </c>
      <c r="E9" s="34">
        <v>16530.809</v>
      </c>
      <c r="F9" s="34">
        <v>7413.707</v>
      </c>
      <c r="G9" s="316">
        <f t="shared" si="2"/>
        <v>2.229762924</v>
      </c>
      <c r="H9" s="317">
        <v>0.2184407892</v>
      </c>
      <c r="K9" s="197" t="s">
        <v>309</v>
      </c>
      <c r="L9" s="190">
        <v>0.0094</v>
      </c>
      <c r="M9" s="190">
        <v>0.02926315789473684</v>
      </c>
      <c r="N9" s="230">
        <f t="shared" si="1"/>
        <v>0.0002750736842</v>
      </c>
      <c r="Q9" s="197" t="s">
        <v>309</v>
      </c>
      <c r="R9" s="11">
        <v>36.0</v>
      </c>
      <c r="S9" s="9">
        <f t="shared" si="3"/>
        <v>0.2105263158</v>
      </c>
      <c r="T9" s="318">
        <f t="shared" si="4"/>
        <v>0.02926315789</v>
      </c>
    </row>
    <row r="10">
      <c r="A10" s="113"/>
      <c r="B10" s="113"/>
      <c r="C10" s="315" t="s">
        <v>52</v>
      </c>
      <c r="D10" s="34">
        <v>0.424511522</v>
      </c>
      <c r="E10" s="34">
        <v>2752.025</v>
      </c>
      <c r="F10" s="34">
        <v>1847.454</v>
      </c>
      <c r="G10" s="316">
        <f t="shared" si="2"/>
        <v>1.489631136</v>
      </c>
      <c r="H10" s="317">
        <v>0.2586263104</v>
      </c>
      <c r="K10" s="197" t="s">
        <v>310</v>
      </c>
      <c r="L10" s="190">
        <v>0.008</v>
      </c>
      <c r="M10" s="190">
        <v>0.02357309941520468</v>
      </c>
      <c r="N10" s="230">
        <f t="shared" si="1"/>
        <v>0.0001885847953</v>
      </c>
      <c r="Q10" s="197" t="s">
        <v>310</v>
      </c>
      <c r="R10" s="11">
        <v>29.0</v>
      </c>
      <c r="S10" s="9">
        <f t="shared" si="3"/>
        <v>0.1695906433</v>
      </c>
      <c r="T10" s="318">
        <f t="shared" si="4"/>
        <v>0.02357309942</v>
      </c>
    </row>
    <row r="11">
      <c r="A11" s="113"/>
      <c r="B11" s="113"/>
      <c r="C11" s="315" t="s">
        <v>311</v>
      </c>
      <c r="D11" s="34">
        <v>1.456880331</v>
      </c>
      <c r="E11" s="34">
        <v>1452.776</v>
      </c>
      <c r="F11" s="34">
        <v>1808.327</v>
      </c>
      <c r="G11" s="316">
        <f t="shared" si="2"/>
        <v>0.8033812469</v>
      </c>
      <c r="H11" s="317">
        <v>0.25114493670000004</v>
      </c>
      <c r="K11" s="197" t="s">
        <v>312</v>
      </c>
      <c r="L11" s="190">
        <v>0.0066</v>
      </c>
      <c r="M11" s="190">
        <v>0.015444444444444445</v>
      </c>
      <c r="N11" s="230">
        <f t="shared" si="1"/>
        <v>0.0001019333333</v>
      </c>
      <c r="Q11" s="197" t="s">
        <v>312</v>
      </c>
      <c r="R11" s="11">
        <v>19.0</v>
      </c>
      <c r="S11" s="9">
        <f t="shared" si="3"/>
        <v>0.1111111111</v>
      </c>
      <c r="T11" s="318">
        <f t="shared" si="4"/>
        <v>0.01544444444</v>
      </c>
    </row>
    <row r="12">
      <c r="A12" s="113"/>
      <c r="B12" s="113"/>
      <c r="C12" s="315" t="s">
        <v>313</v>
      </c>
      <c r="D12" s="34">
        <v>0.810884893</v>
      </c>
      <c r="E12" s="34">
        <v>136.201</v>
      </c>
      <c r="F12" s="34">
        <v>1695.31</v>
      </c>
      <c r="G12" s="316">
        <f t="shared" si="2"/>
        <v>0.08033987884</v>
      </c>
      <c r="H12" s="317">
        <v>0.2484895453</v>
      </c>
      <c r="K12" s="197" t="s">
        <v>314</v>
      </c>
      <c r="L12" s="190">
        <v>0.0</v>
      </c>
      <c r="M12" s="190">
        <v>0.012192982456140351</v>
      </c>
      <c r="N12" s="240">
        <f t="shared" si="1"/>
        <v>0</v>
      </c>
      <c r="Q12" s="197" t="s">
        <v>314</v>
      </c>
      <c r="R12" s="11">
        <v>15.0</v>
      </c>
      <c r="S12" s="9">
        <f t="shared" si="3"/>
        <v>0.08771929825</v>
      </c>
      <c r="T12" s="318">
        <f t="shared" si="4"/>
        <v>0.01219298246</v>
      </c>
    </row>
    <row r="13">
      <c r="A13" s="113"/>
      <c r="B13" s="113"/>
      <c r="C13" s="315" t="s">
        <v>315</v>
      </c>
      <c r="D13" s="34">
        <v>0.725119829</v>
      </c>
      <c r="E13" s="34">
        <v>14.847</v>
      </c>
      <c r="F13" s="34">
        <v>1247.372</v>
      </c>
      <c r="G13" s="316">
        <f t="shared" si="2"/>
        <v>0.01190262408</v>
      </c>
      <c r="H13" s="317">
        <v>0.2838623134</v>
      </c>
      <c r="K13" s="197" t="s">
        <v>316</v>
      </c>
      <c r="L13" s="190">
        <v>0.008</v>
      </c>
      <c r="M13" s="190">
        <v>0.011380116959064327</v>
      </c>
      <c r="N13" s="230">
        <f t="shared" si="1"/>
        <v>0.00009104093567</v>
      </c>
      <c r="Q13" s="197" t="s">
        <v>316</v>
      </c>
      <c r="R13" s="11">
        <v>14.0</v>
      </c>
      <c r="S13" s="9">
        <f t="shared" si="3"/>
        <v>0.08187134503</v>
      </c>
      <c r="T13" s="318">
        <f t="shared" si="4"/>
        <v>0.01138011696</v>
      </c>
    </row>
    <row r="14">
      <c r="A14" s="113"/>
      <c r="B14" s="113"/>
      <c r="C14" s="315" t="s">
        <v>47</v>
      </c>
      <c r="D14" s="34">
        <v>0.5372927</v>
      </c>
      <c r="E14" s="34">
        <v>17074.0</v>
      </c>
      <c r="F14" s="34">
        <v>11266.0</v>
      </c>
      <c r="G14" s="316">
        <f t="shared" si="2"/>
        <v>1.515533464</v>
      </c>
      <c r="H14" s="317">
        <v>0.2616033755</v>
      </c>
      <c r="K14" s="197" t="s">
        <v>317</v>
      </c>
      <c r="L14" s="190">
        <v>0.0094</v>
      </c>
      <c r="M14" s="190">
        <v>0.0056900584795321636</v>
      </c>
      <c r="N14" s="230">
        <f t="shared" si="1"/>
        <v>0.00005348654971</v>
      </c>
      <c r="Q14" s="197" t="s">
        <v>317</v>
      </c>
      <c r="R14" s="11">
        <v>7.0</v>
      </c>
      <c r="S14" s="9">
        <f t="shared" si="3"/>
        <v>0.04093567251</v>
      </c>
      <c r="T14" s="318">
        <f t="shared" si="4"/>
        <v>0.00569005848</v>
      </c>
    </row>
    <row r="15">
      <c r="A15" s="113"/>
      <c r="B15" s="113"/>
      <c r="C15" s="315" t="s">
        <v>318</v>
      </c>
      <c r="D15" s="34">
        <v>0.5009337</v>
      </c>
      <c r="E15" s="34">
        <v>4281.1</v>
      </c>
      <c r="F15" s="34">
        <v>7038.9</v>
      </c>
      <c r="G15" s="316">
        <f t="shared" si="2"/>
        <v>0.6082058276</v>
      </c>
      <c r="H15" s="317">
        <v>0.22776851990000002</v>
      </c>
      <c r="K15" s="197" t="s">
        <v>319</v>
      </c>
      <c r="L15" s="190">
        <v>0.0213</v>
      </c>
      <c r="M15" s="190">
        <v>0.004064327485380117</v>
      </c>
      <c r="N15" s="230">
        <f t="shared" si="1"/>
        <v>0.00008657017544</v>
      </c>
      <c r="Q15" s="197" t="s">
        <v>319</v>
      </c>
      <c r="R15" s="11">
        <v>5.0</v>
      </c>
      <c r="S15" s="9">
        <f t="shared" si="3"/>
        <v>0.02923976608</v>
      </c>
      <c r="T15" s="318">
        <f t="shared" si="4"/>
        <v>0.004064327485</v>
      </c>
    </row>
    <row r="16">
      <c r="A16" s="33"/>
      <c r="B16" s="113"/>
      <c r="C16" s="315" t="s">
        <v>45</v>
      </c>
      <c r="D16" s="34">
        <v>0.76360935</v>
      </c>
      <c r="E16" s="34">
        <v>6574.1</v>
      </c>
      <c r="F16" s="34">
        <v>3977.4</v>
      </c>
      <c r="G16" s="316">
        <f t="shared" si="2"/>
        <v>1.65286368</v>
      </c>
      <c r="H16" s="317">
        <v>0.2465307892</v>
      </c>
      <c r="K16" s="197" t="s">
        <v>320</v>
      </c>
      <c r="L16" s="190">
        <v>0.008</v>
      </c>
      <c r="M16" s="190">
        <v>0.0016257309941520469</v>
      </c>
      <c r="N16" s="230">
        <f t="shared" si="1"/>
        <v>0.00001300584795</v>
      </c>
      <c r="Q16" s="197" t="s">
        <v>320</v>
      </c>
      <c r="R16" s="11">
        <v>2.0</v>
      </c>
      <c r="S16" s="9">
        <f t="shared" si="3"/>
        <v>0.01169590643</v>
      </c>
      <c r="T16" s="318">
        <f t="shared" si="4"/>
        <v>0.001625730994</v>
      </c>
    </row>
    <row r="17">
      <c r="A17" s="113"/>
      <c r="B17" s="113"/>
      <c r="C17" s="315" t="s">
        <v>103</v>
      </c>
      <c r="D17" s="34">
        <v>0.4307639</v>
      </c>
      <c r="E17" s="34">
        <v>7179.0</v>
      </c>
      <c r="F17" s="34">
        <v>5544.0</v>
      </c>
      <c r="G17" s="316">
        <f t="shared" si="2"/>
        <v>1.29491342</v>
      </c>
      <c r="H17" s="317">
        <v>0.2502512563</v>
      </c>
      <c r="K17" s="197" t="s">
        <v>321</v>
      </c>
      <c r="L17" s="190">
        <v>0.0</v>
      </c>
      <c r="M17" s="190">
        <v>8.128654970760234E-4</v>
      </c>
      <c r="N17" s="240">
        <f t="shared" si="1"/>
        <v>0</v>
      </c>
      <c r="Q17" s="197" t="s">
        <v>321</v>
      </c>
      <c r="R17" s="11">
        <v>1.0</v>
      </c>
      <c r="S17" s="9">
        <f t="shared" si="3"/>
        <v>0.005847953216</v>
      </c>
      <c r="T17" s="318">
        <f t="shared" si="4"/>
        <v>0.0008128654971</v>
      </c>
    </row>
    <row r="18">
      <c r="A18" s="113"/>
      <c r="B18" s="113"/>
      <c r="C18" s="315" t="s">
        <v>104</v>
      </c>
      <c r="D18" s="34">
        <v>0.6844925</v>
      </c>
      <c r="E18" s="34">
        <v>10037.0</v>
      </c>
      <c r="F18" s="34">
        <v>11662.0</v>
      </c>
      <c r="G18" s="316">
        <f t="shared" si="2"/>
        <v>0.8606585491</v>
      </c>
      <c r="H18" s="317">
        <v>0.2758465011</v>
      </c>
      <c r="K18" s="197" t="s">
        <v>322</v>
      </c>
      <c r="L18" s="190">
        <v>0.0</v>
      </c>
      <c r="M18" s="190">
        <v>8.128654970760234E-4</v>
      </c>
      <c r="N18" s="240">
        <f t="shared" si="1"/>
        <v>0</v>
      </c>
      <c r="Q18" s="197" t="s">
        <v>322</v>
      </c>
      <c r="R18" s="11">
        <v>1.0</v>
      </c>
      <c r="S18" s="9">
        <f t="shared" si="3"/>
        <v>0.005847953216</v>
      </c>
      <c r="T18" s="318">
        <f t="shared" si="4"/>
        <v>0.0008128654971</v>
      </c>
    </row>
    <row r="19">
      <c r="A19" s="113"/>
      <c r="B19" s="113"/>
      <c r="C19" s="315" t="s">
        <v>106</v>
      </c>
      <c r="D19" s="34">
        <v>0.9304859</v>
      </c>
      <c r="E19" s="34">
        <v>3832.0</v>
      </c>
      <c r="F19" s="34">
        <v>6651.0</v>
      </c>
      <c r="G19" s="316">
        <f t="shared" si="2"/>
        <v>0.5761539618</v>
      </c>
      <c r="H19" s="317">
        <v>0.32367149759999997</v>
      </c>
      <c r="K19" s="197" t="s">
        <v>323</v>
      </c>
      <c r="L19" s="190">
        <v>0.0094</v>
      </c>
      <c r="M19" s="190">
        <v>8.128654970760234E-4</v>
      </c>
      <c r="N19" s="230">
        <f t="shared" si="1"/>
        <v>0.000007640935673</v>
      </c>
      <c r="Q19" s="197" t="s">
        <v>323</v>
      </c>
      <c r="R19" s="11">
        <v>1.0</v>
      </c>
      <c r="S19" s="9">
        <f t="shared" si="3"/>
        <v>0.005847953216</v>
      </c>
      <c r="T19" s="318">
        <f t="shared" si="4"/>
        <v>0.0008128654971</v>
      </c>
      <c r="V19" s="11"/>
    </row>
    <row r="20">
      <c r="A20" s="113"/>
      <c r="B20" s="113"/>
      <c r="C20" s="315" t="s">
        <v>107</v>
      </c>
      <c r="D20" s="34">
        <v>0.9298818</v>
      </c>
      <c r="E20" s="34">
        <v>2658.0</v>
      </c>
      <c r="F20" s="34">
        <v>3253.0</v>
      </c>
      <c r="G20" s="316">
        <f t="shared" si="2"/>
        <v>0.8170919152</v>
      </c>
      <c r="H20" s="317">
        <v>0.2425373134</v>
      </c>
      <c r="K20" s="319" t="s">
        <v>324</v>
      </c>
      <c r="L20" s="320"/>
      <c r="M20" s="321">
        <f t="shared" ref="M20:N20" si="5">SUM(M6:M19)</f>
        <v>1</v>
      </c>
      <c r="N20" s="322">
        <f t="shared" si="5"/>
        <v>0.001663854386</v>
      </c>
      <c r="Q20" s="233" t="s">
        <v>325</v>
      </c>
      <c r="R20" s="323">
        <f>sum(R8:R19)</f>
        <v>171</v>
      </c>
      <c r="S20" s="323">
        <f t="shared" ref="S20:T20" si="6">SUM(S6:S19)</f>
        <v>1</v>
      </c>
      <c r="T20" s="324">
        <f t="shared" si="6"/>
        <v>1</v>
      </c>
    </row>
    <row r="21">
      <c r="A21" s="113"/>
      <c r="B21" s="113"/>
      <c r="C21" s="315" t="s">
        <v>108</v>
      </c>
      <c r="D21" s="34">
        <v>0.4786263</v>
      </c>
      <c r="E21" s="34">
        <v>801.957</v>
      </c>
      <c r="F21" s="34">
        <v>-37.682</v>
      </c>
      <c r="G21" s="325">
        <v>0.0</v>
      </c>
      <c r="H21" s="317">
        <v>0.2539510545</v>
      </c>
      <c r="K21" s="200" t="s">
        <v>210</v>
      </c>
      <c r="N21" s="326"/>
      <c r="O21" s="11"/>
      <c r="P21" s="11"/>
    </row>
    <row r="22">
      <c r="A22" s="113"/>
      <c r="B22" s="113"/>
      <c r="C22" s="315" t="s">
        <v>109</v>
      </c>
      <c r="D22" s="34">
        <v>0.3599856</v>
      </c>
      <c r="E22" s="34">
        <v>14559.0</v>
      </c>
      <c r="F22" s="34">
        <v>7388.0</v>
      </c>
      <c r="G22" s="316">
        <f t="shared" ref="G22:G29" si="7">E22/F22</f>
        <v>1.970628045</v>
      </c>
      <c r="H22" s="317">
        <v>0.2308492201</v>
      </c>
      <c r="N22" s="11"/>
    </row>
    <row r="23">
      <c r="A23" s="113"/>
      <c r="B23" s="113"/>
      <c r="C23" s="315" t="s">
        <v>111</v>
      </c>
      <c r="D23" s="34">
        <v>0.9723535</v>
      </c>
      <c r="E23" s="34">
        <v>193.73</v>
      </c>
      <c r="F23" s="34">
        <v>7102.434</v>
      </c>
      <c r="G23" s="316">
        <f t="shared" si="7"/>
        <v>0.02727656463</v>
      </c>
      <c r="H23" s="317">
        <v>0.1604816781</v>
      </c>
      <c r="N23" s="11"/>
    </row>
    <row r="24">
      <c r="A24" s="113"/>
      <c r="B24" s="113"/>
      <c r="C24" s="315" t="s">
        <v>113</v>
      </c>
      <c r="D24" s="34">
        <v>-0.002881366</v>
      </c>
      <c r="E24" s="34">
        <v>270.5</v>
      </c>
      <c r="F24" s="34">
        <v>3171.9</v>
      </c>
      <c r="G24" s="316">
        <f t="shared" si="7"/>
        <v>0.08528011602</v>
      </c>
      <c r="H24" s="317">
        <v>0.2520688884</v>
      </c>
      <c r="N24" s="11"/>
    </row>
    <row r="25">
      <c r="A25" s="113"/>
      <c r="B25" s="113"/>
      <c r="C25" s="315" t="s">
        <v>115</v>
      </c>
      <c r="D25" s="34">
        <v>0.8267954</v>
      </c>
      <c r="E25" s="34">
        <v>3324.357</v>
      </c>
      <c r="F25" s="34">
        <v>3740.852</v>
      </c>
      <c r="G25" s="316">
        <f t="shared" si="7"/>
        <v>0.8886630639</v>
      </c>
      <c r="H25" s="317">
        <v>0.1327293291</v>
      </c>
      <c r="N25" s="11"/>
      <c r="O25" s="190"/>
    </row>
    <row r="26">
      <c r="A26" s="113"/>
      <c r="B26" s="113"/>
      <c r="C26" s="315" t="s">
        <v>117</v>
      </c>
      <c r="D26" s="34">
        <v>0.4647725</v>
      </c>
      <c r="E26" s="34">
        <v>1711644.0</v>
      </c>
      <c r="F26" s="34">
        <v>2135271.0</v>
      </c>
      <c r="G26" s="316">
        <f t="shared" si="7"/>
        <v>0.8016050422</v>
      </c>
      <c r="H26" s="317">
        <v>0.56420861</v>
      </c>
      <c r="N26" s="11"/>
    </row>
    <row r="27">
      <c r="A27" s="113"/>
      <c r="B27" s="113"/>
      <c r="C27" s="315" t="s">
        <v>119</v>
      </c>
      <c r="D27" s="34">
        <v>0.6868883</v>
      </c>
      <c r="E27" s="34">
        <v>270630.0</v>
      </c>
      <c r="F27" s="34">
        <v>624044.0</v>
      </c>
      <c r="G27" s="316">
        <f t="shared" si="7"/>
        <v>0.4336713437</v>
      </c>
      <c r="H27" s="317">
        <v>0.3327587466</v>
      </c>
    </row>
    <row r="28">
      <c r="A28" s="113"/>
      <c r="B28" s="113"/>
      <c r="C28" s="315" t="s">
        <v>120</v>
      </c>
      <c r="D28" s="34">
        <v>0.6493115</v>
      </c>
      <c r="E28" s="34">
        <v>1.174417999E7</v>
      </c>
      <c r="F28" s="34">
        <v>1.7033617E7</v>
      </c>
      <c r="G28" s="316">
        <f t="shared" si="7"/>
        <v>0.689470709</v>
      </c>
      <c r="H28" s="327" t="s">
        <v>326</v>
      </c>
    </row>
    <row r="29">
      <c r="A29" s="113"/>
      <c r="B29" s="113"/>
      <c r="C29" s="315" t="s">
        <v>123</v>
      </c>
      <c r="D29" s="34">
        <v>1.234346</v>
      </c>
      <c r="E29" s="34">
        <v>125314.4132</v>
      </c>
      <c r="F29" s="34">
        <v>72380.59</v>
      </c>
      <c r="G29" s="316">
        <f t="shared" si="7"/>
        <v>1.731326219</v>
      </c>
      <c r="H29" s="317">
        <v>0.2345303196</v>
      </c>
      <c r="M29" s="328" t="s">
        <v>327</v>
      </c>
      <c r="N29" s="329"/>
    </row>
    <row r="30">
      <c r="A30" s="113"/>
      <c r="B30" s="113"/>
      <c r="C30" s="315" t="s">
        <v>126</v>
      </c>
      <c r="D30" s="34">
        <v>1.012604</v>
      </c>
      <c r="E30" s="34">
        <v>-5893.0</v>
      </c>
      <c r="F30" s="34">
        <v>20428.0</v>
      </c>
      <c r="G30" s="325">
        <v>0.0</v>
      </c>
      <c r="H30" s="317">
        <v>0.6252427184</v>
      </c>
      <c r="M30" s="330" t="s">
        <v>328</v>
      </c>
      <c r="N30" s="331" t="s">
        <v>304</v>
      </c>
    </row>
    <row r="31">
      <c r="A31" s="113"/>
      <c r="B31" s="113"/>
      <c r="C31" s="315" t="s">
        <v>130</v>
      </c>
      <c r="D31" s="34">
        <v>0.6273057</v>
      </c>
      <c r="E31" s="34">
        <v>9472.0</v>
      </c>
      <c r="F31" s="34">
        <v>3806.0</v>
      </c>
      <c r="G31" s="316">
        <f t="shared" ref="G31:G39" si="8">E31/F31</f>
        <v>2.488702049</v>
      </c>
      <c r="H31" s="317">
        <v>0.2975260417</v>
      </c>
      <c r="M31" s="332" t="s">
        <v>329</v>
      </c>
      <c r="N31" s="333">
        <v>0.724</v>
      </c>
    </row>
    <row r="32">
      <c r="A32" s="113"/>
      <c r="B32" s="113"/>
      <c r="C32" s="315" t="s">
        <v>131</v>
      </c>
      <c r="D32" s="34">
        <v>0.7163421</v>
      </c>
      <c r="E32" s="34">
        <v>1806.0</v>
      </c>
      <c r="F32" s="34">
        <v>1636.6</v>
      </c>
      <c r="G32" s="316">
        <f t="shared" si="8"/>
        <v>1.103507271</v>
      </c>
      <c r="H32" s="317">
        <v>0.2654224987</v>
      </c>
      <c r="M32" s="332" t="s">
        <v>306</v>
      </c>
      <c r="N32" s="333">
        <v>0.137</v>
      </c>
      <c r="O32" s="11"/>
    </row>
    <row r="33">
      <c r="A33" s="113"/>
      <c r="B33" s="113"/>
      <c r="C33" s="315" t="s">
        <v>133</v>
      </c>
      <c r="D33" s="34">
        <v>1.034831</v>
      </c>
      <c r="E33" s="34">
        <v>43216.322</v>
      </c>
      <c r="F33" s="34">
        <v>232875.5</v>
      </c>
      <c r="G33" s="316">
        <f t="shared" si="8"/>
        <v>0.185576937</v>
      </c>
      <c r="H33" s="317">
        <v>0.2191176146</v>
      </c>
      <c r="M33" s="332" t="s">
        <v>330</v>
      </c>
      <c r="N33" s="112">
        <v>0.139</v>
      </c>
      <c r="O33" s="275"/>
    </row>
    <row r="34">
      <c r="A34" s="113"/>
      <c r="B34" s="113"/>
      <c r="C34" s="315" t="s">
        <v>134</v>
      </c>
      <c r="D34" s="34">
        <v>0.4518577</v>
      </c>
      <c r="E34" s="34">
        <v>19812.0</v>
      </c>
      <c r="F34" s="34">
        <v>82615.0</v>
      </c>
      <c r="G34" s="316">
        <f t="shared" si="8"/>
        <v>0.2398111723</v>
      </c>
      <c r="H34" s="317">
        <v>0.28380359110000003</v>
      </c>
      <c r="M34" s="334"/>
      <c r="N34" s="335"/>
      <c r="O34" s="190"/>
    </row>
    <row r="35">
      <c r="A35" s="113"/>
      <c r="B35" s="113"/>
      <c r="C35" s="315" t="s">
        <v>135</v>
      </c>
      <c r="D35" s="34">
        <v>0.4838082</v>
      </c>
      <c r="E35" s="34">
        <v>2896983.0</v>
      </c>
      <c r="F35" s="34">
        <v>8015512.0</v>
      </c>
      <c r="G35" s="316">
        <f t="shared" si="8"/>
        <v>0.3614220776</v>
      </c>
      <c r="H35" s="317">
        <v>0.19004260720000002</v>
      </c>
      <c r="N35" s="190"/>
      <c r="O35" s="190"/>
    </row>
    <row r="36">
      <c r="A36" s="113"/>
      <c r="B36" s="113"/>
      <c r="C36" s="315" t="s">
        <v>136</v>
      </c>
      <c r="D36" s="34">
        <v>0.81227529</v>
      </c>
      <c r="E36" s="34">
        <v>951.685</v>
      </c>
      <c r="F36" s="34">
        <v>5509.195</v>
      </c>
      <c r="G36" s="316">
        <f t="shared" si="8"/>
        <v>0.1727448384</v>
      </c>
      <c r="H36" s="317">
        <v>0.2417072097</v>
      </c>
      <c r="N36" s="190"/>
      <c r="O36" s="190"/>
    </row>
    <row r="37">
      <c r="A37" s="113"/>
      <c r="B37" s="113"/>
      <c r="C37" s="315" t="s">
        <v>137</v>
      </c>
      <c r="D37" s="34">
        <v>0.655563176</v>
      </c>
      <c r="E37" s="34">
        <v>7443.0</v>
      </c>
      <c r="F37" s="34">
        <v>8393.0</v>
      </c>
      <c r="G37" s="316">
        <f t="shared" si="8"/>
        <v>0.8868104373</v>
      </c>
      <c r="H37" s="317">
        <v>0.2497300632</v>
      </c>
      <c r="N37" s="190"/>
      <c r="O37" s="190"/>
    </row>
    <row r="38">
      <c r="A38" s="113"/>
      <c r="B38" s="113"/>
      <c r="C38" s="315" t="s">
        <v>139</v>
      </c>
      <c r="D38" s="34">
        <v>0.773790181</v>
      </c>
      <c r="E38" s="34">
        <v>1593.798</v>
      </c>
      <c r="F38" s="34">
        <v>1197.384</v>
      </c>
      <c r="G38" s="316">
        <f t="shared" si="8"/>
        <v>1.331066725</v>
      </c>
      <c r="H38" s="317">
        <v>0.297413256</v>
      </c>
      <c r="N38" s="190"/>
      <c r="O38" s="190"/>
    </row>
    <row r="39">
      <c r="A39" s="113"/>
      <c r="B39" s="113"/>
      <c r="C39" s="315" t="s">
        <v>140</v>
      </c>
      <c r="D39" s="34">
        <v>0.542102098</v>
      </c>
      <c r="E39" s="34">
        <v>211.26712</v>
      </c>
      <c r="F39" s="34">
        <v>1545.749</v>
      </c>
      <c r="G39" s="316">
        <f t="shared" si="8"/>
        <v>0.1366762133</v>
      </c>
      <c r="H39" s="317">
        <v>0.239635067</v>
      </c>
      <c r="N39" s="190"/>
      <c r="O39" s="190"/>
    </row>
    <row r="40">
      <c r="A40" s="113"/>
      <c r="B40" s="113"/>
      <c r="C40" s="315" t="s">
        <v>141</v>
      </c>
      <c r="D40" s="34">
        <v>0.444026023</v>
      </c>
      <c r="E40" s="34">
        <v>-239.954</v>
      </c>
      <c r="F40" s="34">
        <v>1446.031</v>
      </c>
      <c r="G40" s="325">
        <v>0.0</v>
      </c>
      <c r="H40" s="317">
        <v>0.2684012643</v>
      </c>
      <c r="N40" s="190"/>
      <c r="O40" s="190"/>
    </row>
    <row r="41">
      <c r="A41" s="113"/>
      <c r="B41" s="113"/>
      <c r="C41" s="315" t="s">
        <v>142</v>
      </c>
      <c r="D41" s="34">
        <v>0.603743851</v>
      </c>
      <c r="E41" s="34">
        <v>1086.85</v>
      </c>
      <c r="F41" s="34">
        <v>743.49</v>
      </c>
      <c r="G41" s="316">
        <f t="shared" ref="G41:G42" si="9">E41/F41</f>
        <v>1.461821948</v>
      </c>
      <c r="H41" s="317">
        <v>0.9728798186000001</v>
      </c>
      <c r="N41" s="190"/>
      <c r="O41" s="190"/>
    </row>
    <row r="42">
      <c r="A42" s="113"/>
      <c r="B42" s="113"/>
      <c r="C42" s="315" t="s">
        <v>143</v>
      </c>
      <c r="D42" s="34">
        <v>1.084753</v>
      </c>
      <c r="E42" s="34">
        <v>29213.193</v>
      </c>
      <c r="F42" s="34">
        <v>148682.6</v>
      </c>
      <c r="G42" s="316">
        <f t="shared" si="9"/>
        <v>0.1964802405</v>
      </c>
      <c r="H42" s="317">
        <v>0.282283475</v>
      </c>
      <c r="N42" s="190"/>
      <c r="O42" s="190"/>
    </row>
    <row r="43">
      <c r="A43" s="113"/>
      <c r="B43" s="113"/>
      <c r="C43" s="315" t="s">
        <v>144</v>
      </c>
      <c r="D43" s="34">
        <v>0.9367681</v>
      </c>
      <c r="E43" s="34">
        <v>-5341.145</v>
      </c>
      <c r="F43" s="34">
        <v>63486.76</v>
      </c>
      <c r="G43" s="325">
        <v>0.0</v>
      </c>
      <c r="H43" s="317">
        <v>0.1766940814</v>
      </c>
      <c r="N43" s="190"/>
      <c r="O43" s="190"/>
    </row>
    <row r="44">
      <c r="A44" s="113"/>
      <c r="B44" s="113"/>
      <c r="C44" s="315" t="s">
        <v>146</v>
      </c>
      <c r="D44" s="34">
        <v>0.6625617</v>
      </c>
      <c r="E44" s="34">
        <v>2908.2</v>
      </c>
      <c r="F44" s="34">
        <v>2734.9</v>
      </c>
      <c r="G44" s="316">
        <f t="shared" ref="G44:G45" si="10">E44/F44</f>
        <v>1.063366119</v>
      </c>
      <c r="H44" s="317">
        <v>0.1949098621</v>
      </c>
      <c r="O44" s="190"/>
    </row>
    <row r="45">
      <c r="A45" s="113"/>
      <c r="B45" s="113"/>
      <c r="C45" s="315" t="s">
        <v>148</v>
      </c>
      <c r="D45" s="34">
        <v>0.8055499</v>
      </c>
      <c r="E45" s="34">
        <v>52576.993</v>
      </c>
      <c r="F45" s="34">
        <v>49280.39</v>
      </c>
      <c r="G45" s="316">
        <f t="shared" si="10"/>
        <v>1.066894824</v>
      </c>
      <c r="H45" s="317">
        <v>0.30519997320000003</v>
      </c>
      <c r="Q45" s="259"/>
    </row>
    <row r="46">
      <c r="A46" s="113"/>
      <c r="B46" s="113"/>
      <c r="C46" s="315" t="s">
        <v>149</v>
      </c>
      <c r="D46" s="34">
        <v>0.9033679</v>
      </c>
      <c r="E46" s="34">
        <v>-703.785</v>
      </c>
      <c r="F46" s="34">
        <v>30700.98</v>
      </c>
      <c r="G46" s="325">
        <v>0.0</v>
      </c>
      <c r="H46" s="317">
        <v>0.2262525608</v>
      </c>
    </row>
    <row r="47">
      <c r="A47" s="113"/>
      <c r="B47" s="113"/>
      <c r="C47" s="315" t="s">
        <v>150</v>
      </c>
      <c r="D47" s="34">
        <v>0.6808661</v>
      </c>
      <c r="E47" s="34">
        <v>8948.0</v>
      </c>
      <c r="F47" s="34">
        <v>12484.0</v>
      </c>
      <c r="G47" s="316">
        <f t="shared" ref="G47:G54" si="11">E47/F47</f>
        <v>0.7167574495</v>
      </c>
      <c r="H47" s="317">
        <v>0.2781335773</v>
      </c>
    </row>
    <row r="48">
      <c r="A48" s="113"/>
      <c r="B48" s="113"/>
      <c r="C48" s="315" t="s">
        <v>151</v>
      </c>
      <c r="D48" s="34">
        <v>1.368574142</v>
      </c>
      <c r="E48" s="34">
        <v>293.72</v>
      </c>
      <c r="F48" s="34">
        <v>175.611</v>
      </c>
      <c r="G48" s="316">
        <f t="shared" si="11"/>
        <v>1.672560375</v>
      </c>
      <c r="H48" s="327" t="s">
        <v>326</v>
      </c>
    </row>
    <row r="49">
      <c r="A49" s="113"/>
      <c r="B49" s="113"/>
      <c r="C49" s="315" t="s">
        <v>152</v>
      </c>
      <c r="D49" s="34">
        <v>0.759933591</v>
      </c>
      <c r="E49" s="34">
        <v>1414.082</v>
      </c>
      <c r="F49" s="34">
        <v>1321.893</v>
      </c>
      <c r="G49" s="316">
        <f t="shared" si="11"/>
        <v>1.069740138</v>
      </c>
      <c r="H49" s="317">
        <v>0.2488602679</v>
      </c>
    </row>
    <row r="50">
      <c r="A50" s="113"/>
      <c r="B50" s="113"/>
      <c r="C50" s="315" t="s">
        <v>49</v>
      </c>
      <c r="D50" s="34">
        <v>0.297879279</v>
      </c>
      <c r="E50" s="34">
        <v>21123.0</v>
      </c>
      <c r="F50" s="34">
        <v>8281.0</v>
      </c>
      <c r="G50" s="316">
        <f t="shared" si="11"/>
        <v>2.550778891</v>
      </c>
      <c r="H50" s="317">
        <v>0.20047875520000003</v>
      </c>
    </row>
    <row r="51">
      <c r="A51" s="113"/>
      <c r="B51" s="113"/>
      <c r="C51" s="315" t="s">
        <v>92</v>
      </c>
      <c r="D51" s="34">
        <v>0.5040535</v>
      </c>
      <c r="E51" s="34">
        <v>13823.0</v>
      </c>
      <c r="F51" s="34">
        <v>15454.0</v>
      </c>
      <c r="G51" s="316">
        <f t="shared" si="11"/>
        <v>0.894460981</v>
      </c>
      <c r="H51" s="317">
        <v>0.21692169220000002</v>
      </c>
    </row>
    <row r="52">
      <c r="A52" s="113"/>
      <c r="B52" s="113"/>
      <c r="C52" s="315" t="s">
        <v>95</v>
      </c>
      <c r="D52" s="34">
        <v>0.6318773</v>
      </c>
      <c r="E52" s="34">
        <v>1.0364318E7</v>
      </c>
      <c r="F52" s="34">
        <v>1.3184076E7</v>
      </c>
      <c r="G52" s="316">
        <f t="shared" si="11"/>
        <v>0.7861239574</v>
      </c>
      <c r="H52" s="327" t="s">
        <v>326</v>
      </c>
    </row>
    <row r="53">
      <c r="A53" s="113"/>
      <c r="B53" s="113"/>
      <c r="C53" s="315" t="s">
        <v>97</v>
      </c>
      <c r="D53" s="34">
        <v>1.093476</v>
      </c>
      <c r="E53" s="34">
        <v>10530.0</v>
      </c>
      <c r="F53" s="34">
        <v>9189.0</v>
      </c>
      <c r="G53" s="316">
        <f t="shared" si="11"/>
        <v>1.145935357</v>
      </c>
      <c r="H53" s="336">
        <v>0.2780656304</v>
      </c>
    </row>
    <row r="54">
      <c r="A54" s="113"/>
      <c r="B54" s="113"/>
      <c r="C54" s="315" t="s">
        <v>99</v>
      </c>
      <c r="D54" s="34">
        <v>0.9220484</v>
      </c>
      <c r="E54" s="34">
        <v>4784161.763</v>
      </c>
      <c r="F54" s="34">
        <v>5311297.0</v>
      </c>
      <c r="G54" s="316">
        <f t="shared" si="11"/>
        <v>0.9007520692</v>
      </c>
      <c r="H54" s="336">
        <v>0.5146482237</v>
      </c>
    </row>
    <row r="55">
      <c r="A55" s="337"/>
      <c r="B55" s="337"/>
      <c r="C55" s="338" t="s">
        <v>227</v>
      </c>
      <c r="D55" s="339">
        <f>AVERAGE(D7:D54)</f>
        <v>0.717993286</v>
      </c>
      <c r="E55" s="340"/>
      <c r="F55" s="340"/>
      <c r="G55" s="341">
        <f t="shared" ref="G55:H55" si="12">AVERAGE(G7:G54)</f>
        <v>0.8448680321</v>
      </c>
      <c r="H55" s="342">
        <f t="shared" si="12"/>
        <v>0.2839988523</v>
      </c>
      <c r="M55" s="11"/>
      <c r="N55" s="11"/>
      <c r="O55" s="11"/>
      <c r="P55" s="11"/>
    </row>
    <row r="56">
      <c r="A56" s="113"/>
      <c r="B56" s="113"/>
      <c r="C56" s="113"/>
      <c r="D56" s="113"/>
      <c r="E56" s="113"/>
      <c r="F56" s="343"/>
      <c r="G56" s="316"/>
      <c r="H56" s="30"/>
      <c r="M56" s="11"/>
      <c r="N56" s="190"/>
      <c r="Q56" s="11"/>
    </row>
    <row r="57">
      <c r="A57" s="113"/>
      <c r="B57" s="113"/>
      <c r="C57" s="113"/>
      <c r="D57" s="113"/>
      <c r="E57" s="113"/>
      <c r="F57" s="113"/>
      <c r="G57" s="113"/>
      <c r="H57" s="113"/>
      <c r="M57" s="11"/>
      <c r="N57" s="190"/>
    </row>
    <row r="58">
      <c r="A58" s="113"/>
      <c r="B58" s="113"/>
      <c r="C58" s="113"/>
      <c r="D58" s="113"/>
      <c r="E58" s="113"/>
      <c r="F58" s="113"/>
      <c r="G58" s="113"/>
      <c r="H58" s="113"/>
      <c r="M58" s="11"/>
      <c r="N58" s="190"/>
      <c r="O58" s="260"/>
    </row>
    <row r="59">
      <c r="A59" s="113"/>
      <c r="B59" s="113"/>
      <c r="C59" s="113"/>
      <c r="D59" s="113"/>
      <c r="E59" s="113"/>
      <c r="F59" s="113"/>
      <c r="G59" s="113"/>
      <c r="H59" s="113"/>
      <c r="M59" s="11"/>
      <c r="N59" s="190"/>
    </row>
    <row r="60">
      <c r="A60" s="113"/>
      <c r="B60" s="113"/>
      <c r="C60" s="113"/>
      <c r="D60" s="113"/>
      <c r="E60" s="344" t="s">
        <v>331</v>
      </c>
      <c r="F60" s="345" t="s">
        <v>332</v>
      </c>
      <c r="G60" s="345" t="s">
        <v>333</v>
      </c>
      <c r="H60" s="346" t="s">
        <v>194</v>
      </c>
      <c r="I60" s="347" t="s">
        <v>304</v>
      </c>
      <c r="J60" s="348" t="s">
        <v>334</v>
      </c>
      <c r="M60" s="11"/>
    </row>
    <row r="61">
      <c r="A61" s="113"/>
      <c r="B61" s="113"/>
      <c r="C61" s="113"/>
      <c r="D61" s="113"/>
      <c r="E61" s="349" t="s">
        <v>335</v>
      </c>
      <c r="F61" s="350">
        <f>D55</f>
        <v>0.717993286</v>
      </c>
      <c r="G61" s="351">
        <v>0.84</v>
      </c>
      <c r="H61" s="352">
        <f>H55</f>
        <v>0.2839988523</v>
      </c>
      <c r="I61" s="353">
        <v>0.981</v>
      </c>
      <c r="J61" s="354">
        <f t="shared" ref="J61:J62" si="13">F61/(1+(1-H61)*G61)</f>
        <v>0.4483420258</v>
      </c>
    </row>
    <row r="62">
      <c r="A62" s="113"/>
      <c r="B62" s="113"/>
      <c r="C62" s="113"/>
      <c r="D62" s="113"/>
      <c r="E62" s="355" t="s">
        <v>336</v>
      </c>
      <c r="F62" s="356">
        <v>1.028927677</v>
      </c>
      <c r="G62" s="357">
        <v>0.1617</v>
      </c>
      <c r="H62" s="358">
        <v>0.25</v>
      </c>
      <c r="I62" s="357">
        <v>0.019</v>
      </c>
      <c r="J62" s="359">
        <f t="shared" si="13"/>
        <v>0.9176407902</v>
      </c>
    </row>
    <row r="63">
      <c r="A63" s="113"/>
      <c r="B63" s="113"/>
      <c r="C63" s="113"/>
      <c r="D63" s="113"/>
      <c r="E63" s="113"/>
      <c r="F63" s="113"/>
      <c r="G63" s="113"/>
      <c r="H63" s="113"/>
      <c r="I63" s="113"/>
    </row>
    <row r="64">
      <c r="A64" s="113"/>
      <c r="B64" s="113"/>
      <c r="C64" s="113"/>
      <c r="D64" s="113"/>
      <c r="E64" s="113"/>
      <c r="F64" s="113"/>
      <c r="G64" s="113"/>
      <c r="H64" s="113"/>
      <c r="I64" s="113"/>
    </row>
    <row r="65">
      <c r="D65" s="113"/>
      <c r="E65" s="360"/>
      <c r="F65" s="361" t="s">
        <v>337</v>
      </c>
      <c r="G65" s="362">
        <v>0.0</v>
      </c>
      <c r="H65" s="363"/>
      <c r="I65" s="363"/>
    </row>
    <row r="66">
      <c r="E66" s="364"/>
      <c r="F66" s="365" t="s">
        <v>338</v>
      </c>
      <c r="G66" s="366">
        <v>2.3622E10</v>
      </c>
      <c r="H66" s="353"/>
      <c r="I66" s="350"/>
    </row>
    <row r="67">
      <c r="F67" s="332" t="s">
        <v>339</v>
      </c>
      <c r="G67" s="367">
        <f>G65/G66</f>
        <v>0</v>
      </c>
    </row>
    <row r="68">
      <c r="F68" s="332" t="s">
        <v>340</v>
      </c>
      <c r="G68" s="368">
        <v>0.25</v>
      </c>
    </row>
    <row r="69">
      <c r="F69" s="369" t="s">
        <v>334</v>
      </c>
      <c r="G69" s="370">
        <f>J61*I61+J62*I62</f>
        <v>0.4572587023</v>
      </c>
    </row>
    <row r="70">
      <c r="F70" s="371" t="s">
        <v>341</v>
      </c>
      <c r="G70" s="372">
        <f>G69*(1+(1-G68)*G67)</f>
        <v>0.4572587023</v>
      </c>
    </row>
    <row r="71">
      <c r="F71" s="11"/>
      <c r="G71" s="190"/>
    </row>
    <row r="72">
      <c r="F72" s="11"/>
      <c r="G72" s="373"/>
    </row>
    <row r="73">
      <c r="F73" s="11"/>
    </row>
    <row r="74">
      <c r="F74" s="1"/>
      <c r="G74" s="2"/>
    </row>
  </sheetData>
  <mergeCells count="4">
    <mergeCell ref="C4:H4"/>
    <mergeCell ref="K4:N4"/>
    <mergeCell ref="Q4:T4"/>
    <mergeCell ref="M29:N29"/>
  </mergeCells>
  <hyperlinks>
    <hyperlink r:id="rId1" ref="K2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29.5"/>
    <col customWidth="1" min="2" max="2" width="18.75"/>
    <col customWidth="1" min="3" max="3" width="16.13"/>
    <col customWidth="1" min="4" max="4" width="18.75"/>
    <col customWidth="1" min="5" max="5" width="15.25"/>
    <col customWidth="1" min="6" max="7" width="13.38"/>
    <col customWidth="1" min="9" max="9" width="13.25"/>
    <col customWidth="1" min="10" max="10" width="7.25"/>
    <col customWidth="1" min="11" max="11" width="10.25"/>
    <col customWidth="1" min="12" max="12" width="23.38"/>
    <col customWidth="1" min="13" max="13" width="19.38"/>
    <col customWidth="1" min="14" max="14" width="16.13"/>
    <col customWidth="1" min="15" max="15" width="29.13"/>
    <col customWidth="1" min="16" max="16" width="16.13"/>
  </cols>
  <sheetData>
    <row r="1">
      <c r="B1" s="82"/>
      <c r="C1" s="82"/>
      <c r="D1" s="82"/>
      <c r="E1" s="82"/>
      <c r="F1" s="82"/>
      <c r="G1" s="82"/>
      <c r="H1" s="82"/>
      <c r="I1" s="82"/>
    </row>
    <row r="2">
      <c r="A2" s="374" t="s">
        <v>342</v>
      </c>
      <c r="C2" s="375"/>
      <c r="D2" s="375"/>
      <c r="E2" s="376"/>
      <c r="F2" s="376"/>
      <c r="G2" s="376"/>
      <c r="H2" s="376"/>
      <c r="I2" s="376"/>
      <c r="J2" s="375"/>
      <c r="K2" s="375"/>
      <c r="L2" s="375"/>
      <c r="M2" s="375"/>
      <c r="N2" s="375"/>
      <c r="O2" s="375"/>
      <c r="P2" s="375"/>
      <c r="Q2" s="375"/>
    </row>
    <row r="3">
      <c r="G3" s="82"/>
      <c r="H3" s="82"/>
      <c r="I3" s="82"/>
    </row>
    <row r="4">
      <c r="A4" s="377" t="s">
        <v>343</v>
      </c>
      <c r="B4" s="85"/>
      <c r="C4" s="82"/>
      <c r="D4" s="82"/>
      <c r="E4" s="82"/>
      <c r="F4" s="82"/>
      <c r="G4" s="82"/>
      <c r="H4" s="82"/>
      <c r="I4" s="82"/>
    </row>
    <row r="5">
      <c r="A5" s="377" t="s">
        <v>344</v>
      </c>
      <c r="E5" s="82"/>
      <c r="F5" s="82"/>
      <c r="G5" s="82"/>
      <c r="H5" s="82"/>
      <c r="I5" s="82"/>
    </row>
    <row r="6">
      <c r="A6" s="377" t="s">
        <v>345</v>
      </c>
      <c r="B6" s="85"/>
      <c r="C6" s="82"/>
      <c r="D6" s="82"/>
      <c r="E6" s="82"/>
      <c r="F6" s="82"/>
      <c r="G6" s="82"/>
      <c r="H6" s="82"/>
      <c r="I6" s="82"/>
    </row>
    <row r="7">
      <c r="B7" s="85"/>
      <c r="C7" s="82"/>
      <c r="D7" s="82"/>
      <c r="E7" s="82"/>
      <c r="F7" s="82"/>
      <c r="G7" s="82"/>
      <c r="H7" s="82"/>
      <c r="I7" s="82"/>
    </row>
    <row r="8">
      <c r="A8" s="378" t="s">
        <v>346</v>
      </c>
      <c r="B8" s="379"/>
      <c r="C8" s="94" t="s">
        <v>347</v>
      </c>
      <c r="D8" s="82"/>
      <c r="E8" s="82"/>
      <c r="F8" s="82"/>
      <c r="G8" s="82"/>
      <c r="H8" s="82"/>
      <c r="I8" s="82"/>
    </row>
    <row r="9">
      <c r="A9" s="380" t="s">
        <v>112</v>
      </c>
      <c r="B9" s="381"/>
      <c r="C9" s="82"/>
      <c r="D9" s="82"/>
      <c r="E9" s="82"/>
      <c r="F9" s="82"/>
      <c r="G9" s="82"/>
      <c r="H9" s="82"/>
      <c r="I9" s="82"/>
    </row>
    <row r="10">
      <c r="A10" s="382" t="s">
        <v>114</v>
      </c>
      <c r="B10" s="383">
        <f>FCFF!B17</f>
        <v>7875599.963</v>
      </c>
      <c r="C10" s="82"/>
      <c r="D10" s="384"/>
      <c r="E10" s="94"/>
      <c r="F10" s="82"/>
      <c r="G10" s="82"/>
      <c r="H10" s="82"/>
      <c r="I10" s="82"/>
    </row>
    <row r="11">
      <c r="A11" s="385" t="s">
        <v>116</v>
      </c>
      <c r="B11" s="386">
        <f>FCFF!B20+FCFF!B29</f>
        <v>2661000</v>
      </c>
      <c r="C11" s="82"/>
      <c r="D11" s="384"/>
      <c r="E11" s="82"/>
      <c r="F11" s="82"/>
      <c r="G11" s="82"/>
      <c r="H11" s="82"/>
      <c r="I11" s="82"/>
    </row>
    <row r="12">
      <c r="A12" s="382" t="s">
        <v>118</v>
      </c>
      <c r="B12" s="387">
        <f>B11/B10</f>
        <v>0.3378790203</v>
      </c>
      <c r="C12" s="82"/>
      <c r="D12" s="384"/>
      <c r="E12" s="82"/>
      <c r="F12" s="82"/>
      <c r="G12" s="82"/>
      <c r="H12" s="82"/>
      <c r="I12" s="82"/>
    </row>
    <row r="13">
      <c r="A13" s="388"/>
      <c r="B13" s="387"/>
      <c r="C13" s="82"/>
      <c r="D13" s="82"/>
      <c r="E13" s="82"/>
      <c r="F13" s="82"/>
      <c r="G13" s="94" t="s">
        <v>348</v>
      </c>
      <c r="H13" s="82"/>
      <c r="I13" s="82"/>
      <c r="U13" s="11" t="s">
        <v>349</v>
      </c>
    </row>
    <row r="14">
      <c r="A14" s="389" t="s">
        <v>121</v>
      </c>
      <c r="B14" s="383">
        <f>(5805000)+2668000</f>
        <v>8473000</v>
      </c>
      <c r="C14" s="94" t="s">
        <v>350</v>
      </c>
      <c r="D14" s="94" t="s">
        <v>351</v>
      </c>
      <c r="E14" s="94" t="s">
        <v>352</v>
      </c>
      <c r="F14" s="82"/>
      <c r="G14" s="82">
        <f>14161000-13335000</f>
        <v>826000</v>
      </c>
      <c r="H14" s="82"/>
      <c r="I14" s="82"/>
    </row>
    <row r="15">
      <c r="A15" s="389" t="s">
        <v>124</v>
      </c>
      <c r="B15" s="390">
        <v>2.9164E7</v>
      </c>
      <c r="C15" s="94" t="s">
        <v>125</v>
      </c>
      <c r="D15" s="94" t="s">
        <v>353</v>
      </c>
    </row>
    <row r="16">
      <c r="A16" s="391" t="s">
        <v>127</v>
      </c>
      <c r="B16" s="392">
        <f>G14</f>
        <v>826000</v>
      </c>
      <c r="C16" s="94" t="s">
        <v>125</v>
      </c>
      <c r="D16" s="82"/>
    </row>
    <row r="17">
      <c r="A17" s="393" t="s">
        <v>129</v>
      </c>
      <c r="B17" s="394">
        <f>B14+B15-B16</f>
        <v>36811000</v>
      </c>
    </row>
    <row r="18">
      <c r="A18" s="395"/>
      <c r="B18" s="396"/>
    </row>
    <row r="19">
      <c r="A19" s="397" t="s">
        <v>132</v>
      </c>
      <c r="B19" s="398">
        <f>B10/B17</f>
        <v>0.213946917</v>
      </c>
    </row>
    <row r="20">
      <c r="A20" s="6"/>
      <c r="B20" s="7"/>
    </row>
    <row r="21">
      <c r="A21" s="399" t="s">
        <v>354</v>
      </c>
      <c r="B21" s="400">
        <f>B19*B12</f>
        <v>0.07228817473</v>
      </c>
      <c r="D21" s="11" t="s">
        <v>355</v>
      </c>
    </row>
    <row r="23" ht="27.0" customHeight="1">
      <c r="A23" s="401"/>
      <c r="B23" s="401"/>
      <c r="C23" s="401"/>
      <c r="D23" s="401"/>
      <c r="E23" s="401"/>
      <c r="F23" s="401"/>
      <c r="G23" s="401"/>
      <c r="H23" s="401"/>
      <c r="I23" s="401"/>
      <c r="J23" s="401"/>
      <c r="K23" s="401"/>
      <c r="L23" s="401"/>
      <c r="M23" s="401"/>
      <c r="N23" s="401"/>
      <c r="O23" s="401"/>
      <c r="P23" s="401"/>
      <c r="Q23" s="401"/>
    </row>
    <row r="24">
      <c r="A24" s="11" t="s">
        <v>356</v>
      </c>
      <c r="B24" s="402"/>
    </row>
    <row r="25">
      <c r="A25" s="11" t="s">
        <v>357</v>
      </c>
      <c r="B25" s="204">
        <f>FCFF!B6</f>
        <v>0.04067</v>
      </c>
    </row>
    <row r="26">
      <c r="A26" s="403" t="s">
        <v>358</v>
      </c>
      <c r="B26" s="404">
        <f>B25+0.01</f>
        <v>0.05067</v>
      </c>
    </row>
    <row r="27" ht="21.75" customHeight="1">
      <c r="A27" s="405" t="s">
        <v>359</v>
      </c>
      <c r="B27" s="406"/>
      <c r="C27" s="375"/>
      <c r="D27" s="375"/>
      <c r="E27" s="375"/>
      <c r="F27" s="375"/>
      <c r="G27" s="375"/>
      <c r="H27" s="375"/>
      <c r="I27" s="375"/>
      <c r="J27" s="375"/>
      <c r="K27" s="375"/>
      <c r="L27" s="375"/>
      <c r="M27" s="375"/>
      <c r="N27" s="375"/>
      <c r="O27" s="375"/>
      <c r="P27" s="375"/>
      <c r="Q27" s="375"/>
    </row>
    <row r="28">
      <c r="A28" s="275"/>
      <c r="B28" s="229"/>
    </row>
    <row r="29">
      <c r="A29" s="197" t="s">
        <v>360</v>
      </c>
      <c r="B29" s="407" t="s">
        <v>361</v>
      </c>
    </row>
    <row r="30">
      <c r="A30" s="197" t="s">
        <v>362</v>
      </c>
      <c r="B30" s="408">
        <f>(FCFF!B30*(1+FCFF!B6)^5)</f>
        <v>6364820.682</v>
      </c>
      <c r="C30" s="11" t="s">
        <v>363</v>
      </c>
    </row>
    <row r="31">
      <c r="A31" s="197" t="s">
        <v>364</v>
      </c>
      <c r="B31" s="230">
        <f>B21</f>
        <v>0.07228817473</v>
      </c>
      <c r="E31" s="409"/>
    </row>
    <row r="32">
      <c r="A32" s="197"/>
      <c r="B32" s="240">
        <f>(B31-B26)/5</f>
        <v>0.004323634946</v>
      </c>
      <c r="E32" s="410" t="s">
        <v>365</v>
      </c>
      <c r="F32" s="323"/>
    </row>
    <row r="33">
      <c r="A33" s="275"/>
      <c r="B33" s="229"/>
      <c r="E33" s="197" t="s">
        <v>366</v>
      </c>
      <c r="F33" s="230">
        <f>B31</f>
        <v>0.07228817473</v>
      </c>
    </row>
    <row r="34">
      <c r="A34" s="197" t="s">
        <v>367</v>
      </c>
      <c r="B34" s="230">
        <f>B26</f>
        <v>0.05067</v>
      </c>
      <c r="E34" s="197" t="s">
        <v>368</v>
      </c>
      <c r="F34" s="230">
        <f>F33-B32</f>
        <v>0.06796453978</v>
      </c>
    </row>
    <row r="35">
      <c r="A35" s="197" t="s">
        <v>369</v>
      </c>
      <c r="B35" s="198">
        <v>0.06052</v>
      </c>
      <c r="E35" s="197" t="s">
        <v>370</v>
      </c>
      <c r="F35" s="230">
        <f>F34-B32</f>
        <v>0.06364090484</v>
      </c>
    </row>
    <row r="36">
      <c r="A36" s="275"/>
      <c r="B36" s="229"/>
      <c r="E36" s="197" t="s">
        <v>371</v>
      </c>
      <c r="F36" s="230">
        <f>F35-B32</f>
        <v>0.05931726989</v>
      </c>
    </row>
    <row r="37">
      <c r="A37" s="197" t="s">
        <v>372</v>
      </c>
      <c r="B37" s="408">
        <f>B30*(1+B26)</f>
        <v>6687326.146</v>
      </c>
      <c r="E37" s="411" t="s">
        <v>373</v>
      </c>
      <c r="F37" s="412">
        <f>F36-B32</f>
        <v>0.05499363495</v>
      </c>
    </row>
    <row r="38">
      <c r="A38" s="197" t="s">
        <v>374</v>
      </c>
      <c r="B38" s="230">
        <f>B35-B34</f>
        <v>0.00985</v>
      </c>
      <c r="C38" s="413"/>
    </row>
    <row r="39">
      <c r="A39" s="275"/>
      <c r="B39" s="229"/>
    </row>
    <row r="40">
      <c r="A40" s="197" t="s">
        <v>375</v>
      </c>
      <c r="B40" s="408">
        <f>B37/B38</f>
        <v>678916360</v>
      </c>
    </row>
    <row r="41">
      <c r="A41" s="414" t="s">
        <v>376</v>
      </c>
      <c r="B41" s="415">
        <f>B40/(1+B35)^5</f>
        <v>506083243.9</v>
      </c>
      <c r="C41" s="11" t="s">
        <v>377</v>
      </c>
    </row>
    <row r="46">
      <c r="A46" s="416" t="s">
        <v>378</v>
      </c>
      <c r="B46" s="417"/>
      <c r="C46" s="417"/>
      <c r="D46" s="417"/>
      <c r="E46" s="417"/>
      <c r="F46" s="417"/>
      <c r="G46" s="418"/>
      <c r="H46" s="375"/>
      <c r="I46" s="375"/>
      <c r="J46" s="375"/>
      <c r="K46" s="375"/>
      <c r="L46" s="375"/>
      <c r="M46" s="375"/>
      <c r="N46" s="375"/>
      <c r="O46" s="375"/>
      <c r="P46" s="375"/>
      <c r="Q46" s="375"/>
    </row>
    <row r="47">
      <c r="A47" s="6"/>
      <c r="G47" s="7"/>
      <c r="H47" s="419" t="s">
        <v>379</v>
      </c>
    </row>
    <row r="48">
      <c r="A48" s="420"/>
      <c r="B48" s="421" t="s">
        <v>380</v>
      </c>
      <c r="C48" s="421" t="s">
        <v>381</v>
      </c>
      <c r="D48" s="421" t="s">
        <v>382</v>
      </c>
      <c r="E48" s="421" t="s">
        <v>383</v>
      </c>
      <c r="F48" s="421" t="s">
        <v>384</v>
      </c>
      <c r="G48" s="422" t="s">
        <v>385</v>
      </c>
      <c r="I48" s="11"/>
      <c r="J48" s="260"/>
    </row>
    <row r="49">
      <c r="A49" s="423" t="s">
        <v>386</v>
      </c>
      <c r="B49" s="424">
        <f>FCFF!B30</f>
        <v>5214599.963</v>
      </c>
      <c r="C49" s="424">
        <f>B49*(1+F33)</f>
        <v>5591553.876</v>
      </c>
      <c r="D49" s="424">
        <f>C49*(1+F34)</f>
        <v>5971581.262</v>
      </c>
      <c r="E49" s="424">
        <f>D49*(1+F35)</f>
        <v>6351618.097</v>
      </c>
      <c r="F49" s="424">
        <f>E49*(1+F36)</f>
        <v>6728378.742</v>
      </c>
      <c r="G49" s="425">
        <f>F49*(1+F37)</f>
        <v>7098396.746</v>
      </c>
    </row>
    <row r="50">
      <c r="A50" s="423" t="s">
        <v>387</v>
      </c>
      <c r="B50" s="426">
        <f>B49</f>
        <v>5214599.963</v>
      </c>
      <c r="C50" s="424">
        <f>C49/(1+B35)^1</f>
        <v>5272464.335</v>
      </c>
      <c r="D50" s="424">
        <f>D49/(1+B35)^2</f>
        <v>5309475.49</v>
      </c>
      <c r="E50" s="424">
        <f>E49/(1+B35)^3</f>
        <v>5325100.248</v>
      </c>
      <c r="F50" s="424">
        <f>F49/(1+B35)^4</f>
        <v>5319061.08</v>
      </c>
      <c r="G50" s="425">
        <f>G49/(1+B35)^5</f>
        <v>5291343.476</v>
      </c>
    </row>
    <row r="51" ht="19.5" customHeight="1">
      <c r="A51" s="427" t="s">
        <v>388</v>
      </c>
      <c r="B51" s="428">
        <f>C50+D50+E50+F50+G50</f>
        <v>26517444.63</v>
      </c>
      <c r="C51" s="17"/>
      <c r="D51" s="17"/>
      <c r="E51" s="17"/>
      <c r="F51" s="17"/>
      <c r="G51" s="18"/>
    </row>
    <row r="53">
      <c r="A53" s="429" t="s">
        <v>378</v>
      </c>
      <c r="B53" s="430">
        <f>B51+B41</f>
        <v>532600688.5</v>
      </c>
      <c r="C53" s="11" t="s">
        <v>389</v>
      </c>
    </row>
    <row r="55">
      <c r="A55" s="431" t="s">
        <v>390</v>
      </c>
      <c r="C55" s="375"/>
      <c r="D55" s="375"/>
      <c r="E55" s="375"/>
      <c r="F55" s="375"/>
      <c r="G55" s="375"/>
      <c r="H55" s="375"/>
      <c r="I55" s="375"/>
      <c r="J55" s="375"/>
      <c r="K55" s="375"/>
      <c r="L55" s="375"/>
      <c r="M55" s="375"/>
      <c r="N55" s="375"/>
      <c r="O55" s="375"/>
      <c r="P55" s="375"/>
      <c r="Q55" s="375"/>
    </row>
    <row r="57">
      <c r="A57" s="432" t="s">
        <v>214</v>
      </c>
      <c r="B57" s="432" t="s">
        <v>391</v>
      </c>
      <c r="C57" s="432" t="s">
        <v>392</v>
      </c>
      <c r="D57" s="432" t="s">
        <v>393</v>
      </c>
      <c r="E57" s="432" t="s">
        <v>394</v>
      </c>
    </row>
    <row r="58">
      <c r="A58" s="433">
        <f>WACC!B31</f>
        <v>4791531772</v>
      </c>
      <c r="B58" s="434">
        <f>B53*1000-A58</f>
        <v>527809156767</v>
      </c>
      <c r="C58" s="435">
        <f>WACC!B20</f>
        <v>443180000</v>
      </c>
      <c r="D58" s="434">
        <f>B58/C58</f>
        <v>1190.958881</v>
      </c>
      <c r="E58" s="434">
        <f>WACC!B19</f>
        <v>925.08</v>
      </c>
    </row>
    <row r="59">
      <c r="E59" s="11"/>
    </row>
    <row r="62">
      <c r="A62" s="436" t="s">
        <v>378</v>
      </c>
      <c r="B62" s="437">
        <f>B53*1000</f>
        <v>532600688539</v>
      </c>
    </row>
    <row r="63">
      <c r="A63" s="10" t="s">
        <v>395</v>
      </c>
      <c r="B63" s="438">
        <f>WACC!B33</f>
        <v>7459531772</v>
      </c>
    </row>
    <row r="64">
      <c r="A64" s="8" t="s">
        <v>396</v>
      </c>
      <c r="B64" s="439">
        <f>B62-B63</f>
        <v>525141156767</v>
      </c>
    </row>
    <row r="65">
      <c r="A65" s="440" t="s">
        <v>397</v>
      </c>
      <c r="B65" s="441">
        <f>C58*E58</f>
        <v>409976954400</v>
      </c>
    </row>
    <row r="66">
      <c r="A66" s="442" t="s">
        <v>398</v>
      </c>
      <c r="B66" s="443">
        <f>(B65-B64)/B65</f>
        <v>-0.2809040877</v>
      </c>
    </row>
  </sheetData>
  <mergeCells count="4">
    <mergeCell ref="A2:B2"/>
    <mergeCell ref="A8:B8"/>
    <mergeCell ref="A27:B27"/>
    <mergeCell ref="A55:B5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2" max="2" width="27.38"/>
    <col customWidth="1" min="3" max="3" width="17.38"/>
    <col customWidth="1" min="4" max="4" width="16.88"/>
    <col customWidth="1" min="5" max="5" width="20.25"/>
    <col customWidth="1" min="9" max="9" width="22.0"/>
    <col customWidth="1" min="10" max="10" width="19.38"/>
    <col customWidth="1" min="11" max="11" width="18.5"/>
    <col customWidth="1" min="12" max="12" width="16.38"/>
  </cols>
  <sheetData>
    <row r="1" ht="23.25" customHeight="1">
      <c r="B1" s="444" t="s">
        <v>399</v>
      </c>
      <c r="C1" s="445"/>
      <c r="D1" s="445"/>
      <c r="E1" s="445"/>
      <c r="F1" s="445"/>
      <c r="G1" s="379"/>
    </row>
    <row r="2">
      <c r="B2" s="446"/>
      <c r="C2" s="447" t="s">
        <v>369</v>
      </c>
      <c r="D2" s="448"/>
      <c r="E2" s="448"/>
      <c r="F2" s="448"/>
      <c r="G2" s="449"/>
    </row>
    <row r="3">
      <c r="B3" s="450" t="s">
        <v>400</v>
      </c>
      <c r="C3" s="451"/>
      <c r="D3" s="452">
        <f>J4*0.96</f>
        <v>0.058464</v>
      </c>
      <c r="E3" s="452">
        <f>J4*0.98</f>
        <v>0.059682</v>
      </c>
      <c r="F3" s="452">
        <f>J4*1.02</f>
        <v>0.062118</v>
      </c>
      <c r="G3" s="453">
        <f>J4*1.04</f>
        <v>0.063336</v>
      </c>
      <c r="I3" s="454" t="s">
        <v>401</v>
      </c>
      <c r="J3" s="455">
        <v>0.0723</v>
      </c>
      <c r="L3" s="11" t="s">
        <v>402</v>
      </c>
      <c r="M3" s="204">
        <f>'TV &amp; EV'!B26</f>
        <v>0.05067</v>
      </c>
    </row>
    <row r="4">
      <c r="B4" s="456"/>
      <c r="C4" s="452">
        <f>-J3*0.96</f>
        <v>-0.069408</v>
      </c>
      <c r="D4" s="457">
        <v>-0.6214</v>
      </c>
      <c r="E4" s="457">
        <v>-0.4004</v>
      </c>
      <c r="F4" s="457">
        <v>-0.0996</v>
      </c>
      <c r="G4" s="458">
        <v>0.0074</v>
      </c>
      <c r="I4" s="459" t="s">
        <v>369</v>
      </c>
      <c r="J4" s="460">
        <v>0.0609</v>
      </c>
    </row>
    <row r="5">
      <c r="B5" s="456"/>
      <c r="C5" s="452">
        <f>-J3*0.98</f>
        <v>-0.070854</v>
      </c>
      <c r="D5" s="457">
        <v>-0.622</v>
      </c>
      <c r="E5" s="457">
        <v>-0.4007</v>
      </c>
      <c r="F5" s="457">
        <v>-0.0998</v>
      </c>
      <c r="G5" s="458">
        <v>0.0071</v>
      </c>
      <c r="I5" s="461"/>
      <c r="J5" s="462"/>
    </row>
    <row r="6">
      <c r="B6" s="456"/>
      <c r="C6" s="452">
        <f>-J3*1.02</f>
        <v>-0.073746</v>
      </c>
      <c r="D6" s="457">
        <v>-0.6221</v>
      </c>
      <c r="E6" s="457">
        <v>-0.4012</v>
      </c>
      <c r="F6" s="457">
        <v>-0.1003</v>
      </c>
      <c r="G6" s="458">
        <v>0.0067</v>
      </c>
      <c r="I6" s="459" t="s">
        <v>385</v>
      </c>
      <c r="J6" s="463">
        <f>'TV &amp; EV'!B30</f>
        <v>6364820.682</v>
      </c>
    </row>
    <row r="7">
      <c r="B7" s="464"/>
      <c r="C7" s="465">
        <f>-J3*1.04</f>
        <v>-0.075192</v>
      </c>
      <c r="D7" s="466">
        <v>-0.6223</v>
      </c>
      <c r="E7" s="466">
        <v>-0.4014</v>
      </c>
      <c r="F7" s="466">
        <v>-0.1005</v>
      </c>
      <c r="G7" s="467">
        <v>0.0065</v>
      </c>
      <c r="I7" s="461"/>
      <c r="J7" s="462"/>
    </row>
    <row r="8">
      <c r="I8" s="459" t="s">
        <v>372</v>
      </c>
      <c r="J8" s="462">
        <f>6687326.15</f>
        <v>6687326.15</v>
      </c>
    </row>
    <row r="9">
      <c r="I9" s="459" t="s">
        <v>374</v>
      </c>
      <c r="J9" s="468">
        <f>G3-M3</f>
        <v>0.012666</v>
      </c>
    </row>
    <row r="10">
      <c r="I10" s="461"/>
      <c r="J10" s="462"/>
    </row>
    <row r="11">
      <c r="I11" s="459" t="s">
        <v>375</v>
      </c>
      <c r="J11" s="463">
        <f>J8/J9</f>
        <v>527974589.5</v>
      </c>
    </row>
    <row r="12">
      <c r="B12" s="304" t="s">
        <v>403</v>
      </c>
      <c r="I12" s="469" t="s">
        <v>376</v>
      </c>
      <c r="J12" s="470">
        <f>J11/(1+G3)^5</f>
        <v>388383198.3</v>
      </c>
    </row>
    <row r="13">
      <c r="B13" s="471"/>
      <c r="C13" s="472">
        <v>0.96</v>
      </c>
      <c r="D13" s="472">
        <v>0.98</v>
      </c>
      <c r="E13" s="472">
        <v>1.02</v>
      </c>
      <c r="F13" s="472">
        <v>1.04</v>
      </c>
    </row>
    <row r="14">
      <c r="B14" s="473" t="s">
        <v>366</v>
      </c>
      <c r="C14" s="474">
        <f>'TV &amp; EV'!F33*0.96</f>
        <v>0.06939664774</v>
      </c>
      <c r="D14" s="474">
        <f>'TV &amp; EV'!F33*0.98</f>
        <v>0.07084241124</v>
      </c>
      <c r="E14" s="474">
        <f>'TV &amp; EV'!F33*1.02</f>
        <v>0.07373393822</v>
      </c>
      <c r="F14" s="474">
        <f>'TV &amp; EV'!F33*1.04</f>
        <v>0.07517970172</v>
      </c>
    </row>
    <row r="15">
      <c r="B15" s="473" t="s">
        <v>368</v>
      </c>
      <c r="C15" s="474">
        <f>'TV &amp; EV'!F34*0.96</f>
        <v>0.06524595819</v>
      </c>
      <c r="D15" s="474">
        <f>'TV &amp; EV'!F34*0.98</f>
        <v>0.06660524899</v>
      </c>
      <c r="E15" s="474">
        <f>'TV &amp; EV'!F34*1.02</f>
        <v>0.06932383058</v>
      </c>
      <c r="F15" s="474">
        <f>'TV &amp; EV'!F34*1.04</f>
        <v>0.07068312138</v>
      </c>
      <c r="I15" s="475"/>
      <c r="J15" s="476" t="s">
        <v>380</v>
      </c>
      <c r="K15" s="476" t="s">
        <v>381</v>
      </c>
      <c r="L15" s="476" t="s">
        <v>382</v>
      </c>
      <c r="M15" s="476" t="s">
        <v>383</v>
      </c>
      <c r="N15" s="476" t="s">
        <v>384</v>
      </c>
      <c r="O15" s="477" t="s">
        <v>385</v>
      </c>
    </row>
    <row r="16">
      <c r="B16" s="473" t="s">
        <v>370</v>
      </c>
      <c r="C16" s="474">
        <f>'TV &amp; EV'!F35*0.96</f>
        <v>0.06109526864</v>
      </c>
      <c r="D16" s="474">
        <f>'TV &amp; EV'!F35*0.98</f>
        <v>0.06236808674</v>
      </c>
      <c r="E16" s="474">
        <f>'TV &amp; EV'!F35*1.02</f>
        <v>0.06491372293</v>
      </c>
      <c r="F16" s="474">
        <f>'TV &amp; EV'!F35*1.04</f>
        <v>0.06618654103</v>
      </c>
      <c r="I16" s="478" t="s">
        <v>386</v>
      </c>
      <c r="J16" s="424">
        <f>FCFF!B30</f>
        <v>5214599.963</v>
      </c>
      <c r="K16" s="479">
        <f>J16*(1+F14)</f>
        <v>5606632.033</v>
      </c>
      <c r="L16" s="479">
        <f>K16*(1+F15)</f>
        <v>6002926.285</v>
      </c>
      <c r="M16" s="479">
        <f>L16*(1+F16)</f>
        <v>6400239.212</v>
      </c>
      <c r="N16" s="479">
        <f>M16*(1+F17)</f>
        <v>6795069.718</v>
      </c>
      <c r="O16" s="480">
        <f>N16*(1+F18)</f>
        <v>7183702.724</v>
      </c>
    </row>
    <row r="17">
      <c r="B17" s="473" t="s">
        <v>371</v>
      </c>
      <c r="C17" s="474">
        <f>'TV &amp; EV'!F36*0.96</f>
        <v>0.0569445791</v>
      </c>
      <c r="D17" s="474">
        <f>'TV &amp; EV'!F36*0.98</f>
        <v>0.05813092449</v>
      </c>
      <c r="E17" s="474">
        <f>'TV &amp; EV'!F36*1.02</f>
        <v>0.06050361529</v>
      </c>
      <c r="F17" s="474">
        <f>'TV &amp; EV'!F36*1.04</f>
        <v>0.06168996069</v>
      </c>
      <c r="I17" s="478" t="s">
        <v>387</v>
      </c>
      <c r="J17" s="424">
        <f>FCFF!B30</f>
        <v>5214599.963</v>
      </c>
      <c r="K17" s="479">
        <f>K16/(1+G3)</f>
        <v>5272681.479</v>
      </c>
      <c r="L17" s="479">
        <f>L16/(1+G3)^2</f>
        <v>5309113.078</v>
      </c>
      <c r="M17" s="479">
        <f>M16/(1+G3)^3</f>
        <v>5323345.498</v>
      </c>
      <c r="N17" s="479">
        <f>N16/(1+G3)^4</f>
        <v>5315104.983</v>
      </c>
      <c r="O17" s="480">
        <f>O16/(1+G3)^5</f>
        <v>5284400.983</v>
      </c>
    </row>
    <row r="18">
      <c r="B18" s="473" t="s">
        <v>404</v>
      </c>
      <c r="C18" s="474">
        <f>'TV &amp; EV'!F37*0.96</f>
        <v>0.05279388955</v>
      </c>
      <c r="D18" s="474">
        <f>'TV &amp; EV'!F37*0.98</f>
        <v>0.05389376225</v>
      </c>
      <c r="E18" s="474">
        <f>'TV &amp; EV'!F37*1.02</f>
        <v>0.05609350764</v>
      </c>
      <c r="F18" s="474">
        <f>'TV &amp; EV'!F37*1.04</f>
        <v>0.05719338034</v>
      </c>
      <c r="I18" s="481" t="s">
        <v>388</v>
      </c>
      <c r="J18" s="482">
        <f>K17+L17+M17+N17+O17</f>
        <v>26504646.02</v>
      </c>
      <c r="K18" s="483"/>
      <c r="L18" s="483"/>
      <c r="M18" s="483"/>
      <c r="N18" s="483"/>
      <c r="O18" s="484"/>
    </row>
    <row r="20">
      <c r="I20" s="429" t="s">
        <v>378</v>
      </c>
      <c r="J20" s="430">
        <f>J12+J18</f>
        <v>414887844.3</v>
      </c>
      <c r="K20" s="11" t="s">
        <v>389</v>
      </c>
    </row>
    <row r="23">
      <c r="B23" s="485" t="s">
        <v>390</v>
      </c>
      <c r="C23" s="486"/>
      <c r="D23" s="487"/>
      <c r="E23" s="487"/>
      <c r="F23" s="488"/>
    </row>
    <row r="24">
      <c r="B24" s="489" t="s">
        <v>214</v>
      </c>
      <c r="C24" s="490" t="s">
        <v>391</v>
      </c>
      <c r="D24" s="490" t="s">
        <v>392</v>
      </c>
      <c r="E24" s="490" t="s">
        <v>393</v>
      </c>
      <c r="F24" s="491" t="s">
        <v>394</v>
      </c>
    </row>
    <row r="25">
      <c r="B25" s="492">
        <f>'TV &amp; EV'!A58</f>
        <v>4791531772</v>
      </c>
      <c r="C25" s="482">
        <f>(J20*1000)-B25</f>
        <v>410096312537</v>
      </c>
      <c r="D25" s="493">
        <f>'TV &amp; EV'!C58</f>
        <v>443180000</v>
      </c>
      <c r="E25" s="482">
        <f>C25/D25</f>
        <v>925.349322</v>
      </c>
      <c r="F25" s="494">
        <f>'TV &amp; EV'!E58</f>
        <v>925.08</v>
      </c>
    </row>
    <row r="26">
      <c r="F26" s="11"/>
    </row>
    <row r="29">
      <c r="B29" s="454" t="s">
        <v>405</v>
      </c>
      <c r="C29" s="495">
        <f>J20*1000</f>
        <v>414887844309</v>
      </c>
    </row>
    <row r="30">
      <c r="B30" s="459" t="s">
        <v>395</v>
      </c>
      <c r="C30" s="496">
        <f>'TV &amp; EV'!B63</f>
        <v>7459531772</v>
      </c>
    </row>
    <row r="31">
      <c r="B31" s="497" t="s">
        <v>396</v>
      </c>
      <c r="C31" s="498">
        <f>C29-C30</f>
        <v>407428312537</v>
      </c>
    </row>
    <row r="32">
      <c r="B32" s="499" t="s">
        <v>397</v>
      </c>
      <c r="C32" s="500">
        <f>'TV &amp; EV'!B65</f>
        <v>409976954400</v>
      </c>
    </row>
    <row r="33">
      <c r="B33" s="501" t="s">
        <v>406</v>
      </c>
      <c r="C33" s="502">
        <f>(C31-C32)/C32</f>
        <v>-0.006216549091</v>
      </c>
    </row>
  </sheetData>
  <mergeCells count="5">
    <mergeCell ref="B1:G1"/>
    <mergeCell ref="C2:G2"/>
    <mergeCell ref="B3:B7"/>
    <mergeCell ref="B12:F12"/>
    <mergeCell ref="B23:C2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36.63"/>
    <col customWidth="1" min="2" max="2" width="20.88"/>
    <col customWidth="1" min="3" max="3" width="20.63"/>
    <col customWidth="1" min="4" max="4" width="18.38"/>
    <col customWidth="1" min="5" max="5" width="18.75"/>
    <col customWidth="1" min="6" max="6" width="27.38"/>
  </cols>
  <sheetData>
    <row r="2">
      <c r="A2" s="503" t="s">
        <v>407</v>
      </c>
      <c r="B2" s="503">
        <v>2022.0</v>
      </c>
      <c r="C2" s="503">
        <v>2023.0</v>
      </c>
      <c r="D2" s="503">
        <v>2024.0</v>
      </c>
      <c r="E2" s="504" t="s">
        <v>408</v>
      </c>
      <c r="F2" s="11" t="s">
        <v>409</v>
      </c>
    </row>
    <row r="3">
      <c r="A3" s="505" t="s">
        <v>410</v>
      </c>
      <c r="B3" s="506"/>
      <c r="C3" s="506"/>
      <c r="D3" s="506"/>
      <c r="E3" s="507"/>
    </row>
    <row r="4">
      <c r="A4" s="508" t="s">
        <v>411</v>
      </c>
      <c r="B4" s="203">
        <v>25.94</v>
      </c>
      <c r="C4" s="203">
        <v>20.43</v>
      </c>
      <c r="D4" s="203">
        <v>27.01</v>
      </c>
      <c r="E4" s="509">
        <v>28.98</v>
      </c>
    </row>
    <row r="5">
      <c r="A5" s="508" t="s">
        <v>412</v>
      </c>
      <c r="B5" s="203"/>
      <c r="C5" s="260">
        <f t="shared" ref="C5:E5" si="1">((C4-B4)/B4)</f>
        <v>-0.2124132614</v>
      </c>
      <c r="D5" s="260">
        <f t="shared" si="1"/>
        <v>0.3220753793</v>
      </c>
      <c r="E5" s="510">
        <f t="shared" si="1"/>
        <v>0.07293594965</v>
      </c>
    </row>
    <row r="6">
      <c r="A6" s="508" t="s">
        <v>413</v>
      </c>
      <c r="B6" s="203">
        <v>572.75</v>
      </c>
      <c r="C6" s="203">
        <v>611.29</v>
      </c>
      <c r="D6" s="203">
        <v>648.13</v>
      </c>
      <c r="E6" s="509">
        <v>693.15</v>
      </c>
    </row>
    <row r="7">
      <c r="A7" s="508" t="s">
        <v>412</v>
      </c>
      <c r="C7" s="190">
        <f t="shared" ref="C7:E7" si="2">(C6-B6)/B6</f>
        <v>0.06728939328</v>
      </c>
      <c r="D7" s="190">
        <f t="shared" si="2"/>
        <v>0.06026599486</v>
      </c>
      <c r="E7" s="511">
        <f t="shared" si="2"/>
        <v>0.06946137349</v>
      </c>
    </row>
    <row r="8">
      <c r="A8" s="512" t="s">
        <v>414</v>
      </c>
      <c r="B8" s="513"/>
      <c r="C8" s="514">
        <f t="shared" ref="C8:E8" si="3">C5/C7</f>
        <v>-3.156712388</v>
      </c>
      <c r="D8" s="514">
        <f t="shared" si="3"/>
        <v>5.344230691</v>
      </c>
      <c r="E8" s="515">
        <f t="shared" si="3"/>
        <v>1.050021702</v>
      </c>
    </row>
    <row r="10">
      <c r="A10" s="505" t="s">
        <v>415</v>
      </c>
      <c r="B10" s="506"/>
      <c r="C10" s="506"/>
      <c r="D10" s="506"/>
      <c r="E10" s="507"/>
    </row>
    <row r="11">
      <c r="A11" s="508" t="s">
        <v>411</v>
      </c>
      <c r="B11" s="516">
        <v>9.328</v>
      </c>
      <c r="C11" s="516">
        <v>3.896</v>
      </c>
      <c r="D11" s="516">
        <v>5.799</v>
      </c>
      <c r="E11" s="517">
        <v>5.524</v>
      </c>
    </row>
    <row r="12">
      <c r="A12" s="508" t="s">
        <v>412</v>
      </c>
      <c r="B12" s="203"/>
      <c r="C12" s="260">
        <f t="shared" ref="C12:E12" si="4">((C11-B11)/B11)</f>
        <v>-0.5823327616</v>
      </c>
      <c r="D12" s="260">
        <f t="shared" si="4"/>
        <v>0.488449692</v>
      </c>
      <c r="E12" s="510">
        <f t="shared" si="4"/>
        <v>-0.04742196931</v>
      </c>
    </row>
    <row r="13">
      <c r="A13" s="508" t="s">
        <v>413</v>
      </c>
      <c r="B13" s="516">
        <v>106.005</v>
      </c>
      <c r="C13" s="516">
        <v>109.12</v>
      </c>
      <c r="D13" s="516">
        <v>107.412</v>
      </c>
      <c r="E13" s="517">
        <v>105.64</v>
      </c>
    </row>
    <row r="14">
      <c r="A14" s="508" t="s">
        <v>412</v>
      </c>
      <c r="C14" s="190">
        <f t="shared" ref="C14:E14" si="5">(C13-B13)/B13</f>
        <v>0.02938540635</v>
      </c>
      <c r="D14" s="190">
        <f t="shared" si="5"/>
        <v>-0.01565249267</v>
      </c>
      <c r="E14" s="511">
        <f t="shared" si="5"/>
        <v>-0.01649722564</v>
      </c>
    </row>
    <row r="15">
      <c r="A15" s="512" t="s">
        <v>414</v>
      </c>
      <c r="B15" s="513"/>
      <c r="C15" s="514">
        <f t="shared" ref="C15:E15" si="6">C12/C14</f>
        <v>-19.81707364</v>
      </c>
      <c r="D15" s="514">
        <f t="shared" si="6"/>
        <v>-31.20587259</v>
      </c>
      <c r="E15" s="515">
        <f t="shared" si="6"/>
        <v>2.874542081</v>
      </c>
    </row>
    <row r="17">
      <c r="A17" s="505" t="s">
        <v>416</v>
      </c>
      <c r="B17" s="506"/>
      <c r="C17" s="506"/>
      <c r="D17" s="506"/>
      <c r="E17" s="507"/>
    </row>
    <row r="18">
      <c r="A18" s="508" t="s">
        <v>411</v>
      </c>
      <c r="B18" s="516">
        <v>0.9823</v>
      </c>
      <c r="C18" s="516">
        <v>1.1976</v>
      </c>
      <c r="D18" s="516">
        <v>1.5181</v>
      </c>
      <c r="E18" s="517">
        <v>1.8654</v>
      </c>
    </row>
    <row r="19">
      <c r="A19" s="508" t="s">
        <v>412</v>
      </c>
      <c r="B19" s="203"/>
      <c r="C19" s="260">
        <f t="shared" ref="C19:E19" si="7">((C18-B18)/B18)</f>
        <v>0.2191794767</v>
      </c>
      <c r="D19" s="260">
        <f t="shared" si="7"/>
        <v>0.2676185705</v>
      </c>
      <c r="E19" s="510">
        <f t="shared" si="7"/>
        <v>0.2287728081</v>
      </c>
    </row>
    <row r="20">
      <c r="A20" s="508" t="s">
        <v>413</v>
      </c>
      <c r="B20" s="516">
        <v>4.33</v>
      </c>
      <c r="C20" s="516">
        <v>5.0527</v>
      </c>
      <c r="D20" s="516">
        <v>5.8673</v>
      </c>
      <c r="E20" s="517">
        <v>6.689</v>
      </c>
    </row>
    <row r="21">
      <c r="A21" s="508" t="s">
        <v>412</v>
      </c>
      <c r="C21" s="190">
        <f t="shared" ref="C21:E21" si="8">(C20-B20)/B20</f>
        <v>0.1669053118</v>
      </c>
      <c r="D21" s="190">
        <f t="shared" si="8"/>
        <v>0.1612207335</v>
      </c>
      <c r="E21" s="511">
        <f t="shared" si="8"/>
        <v>0.1400473812</v>
      </c>
    </row>
    <row r="22">
      <c r="A22" s="512" t="s">
        <v>414</v>
      </c>
      <c r="B22" s="513"/>
      <c r="C22" s="514">
        <f t="shared" ref="C22:E22" si="9">C19/C21</f>
        <v>1.313196533</v>
      </c>
      <c r="D22" s="514">
        <f t="shared" si="9"/>
        <v>1.659951327</v>
      </c>
      <c r="E22" s="515">
        <f t="shared" si="9"/>
        <v>1.633538636</v>
      </c>
    </row>
    <row r="24">
      <c r="A24" s="505" t="s">
        <v>417</v>
      </c>
      <c r="B24" s="506"/>
      <c r="C24" s="506"/>
      <c r="D24" s="506"/>
      <c r="E24" s="507"/>
    </row>
    <row r="25">
      <c r="A25" s="508" t="s">
        <v>411</v>
      </c>
      <c r="B25" s="516">
        <v>3.2206</v>
      </c>
      <c r="C25" s="516">
        <v>3.3283</v>
      </c>
      <c r="D25" s="516">
        <v>2.4463</v>
      </c>
      <c r="E25" s="517">
        <v>1.7895</v>
      </c>
    </row>
    <row r="26">
      <c r="A26" s="508" t="s">
        <v>412</v>
      </c>
      <c r="B26" s="203"/>
      <c r="C26" s="260">
        <f t="shared" ref="C26:E26" si="10">((C25-B25)/B25)</f>
        <v>0.03344097373</v>
      </c>
      <c r="D26" s="260">
        <f t="shared" si="10"/>
        <v>-0.2650001502</v>
      </c>
      <c r="E26" s="510">
        <f t="shared" si="10"/>
        <v>-0.268487103</v>
      </c>
    </row>
    <row r="27">
      <c r="A27" s="508" t="s">
        <v>413</v>
      </c>
      <c r="B27" s="516">
        <v>34.2204</v>
      </c>
      <c r="C27" s="516">
        <v>37.8448</v>
      </c>
      <c r="D27" s="516">
        <v>38.6916</v>
      </c>
      <c r="E27" s="517">
        <v>41.6516</v>
      </c>
    </row>
    <row r="28">
      <c r="A28" s="508" t="s">
        <v>412</v>
      </c>
      <c r="C28" s="190">
        <f t="shared" ref="C28:E28" si="11">(C27-B27)/B27</f>
        <v>0.1059134318</v>
      </c>
      <c r="D28" s="190">
        <f t="shared" si="11"/>
        <v>0.02237559718</v>
      </c>
      <c r="E28" s="511">
        <f t="shared" si="11"/>
        <v>0.07650239328</v>
      </c>
    </row>
    <row r="29">
      <c r="A29" s="512" t="s">
        <v>414</v>
      </c>
      <c r="B29" s="513"/>
      <c r="C29" s="514">
        <f t="shared" ref="C29:E29" si="12">C26/C28</f>
        <v>0.3157387423</v>
      </c>
      <c r="D29" s="514">
        <f t="shared" si="12"/>
        <v>-11.84326604</v>
      </c>
      <c r="E29" s="515">
        <f t="shared" si="12"/>
        <v>-3.509525538</v>
      </c>
    </row>
    <row r="31">
      <c r="A31" s="505" t="s">
        <v>418</v>
      </c>
      <c r="B31" s="506"/>
      <c r="C31" s="506"/>
      <c r="D31" s="506"/>
      <c r="E31" s="507"/>
    </row>
    <row r="32">
      <c r="A32" s="508" t="s">
        <v>411</v>
      </c>
      <c r="B32" s="516">
        <v>1.8114</v>
      </c>
      <c r="C32" s="516">
        <v>2.0993</v>
      </c>
      <c r="D32" s="516">
        <v>1.7745</v>
      </c>
      <c r="E32" s="517">
        <v>1.4794</v>
      </c>
    </row>
    <row r="33">
      <c r="A33" s="508" t="s">
        <v>412</v>
      </c>
      <c r="B33" s="203"/>
      <c r="C33" s="260">
        <f t="shared" ref="C33:E33" si="13">((C32-B32)/B32)</f>
        <v>0.1589378381</v>
      </c>
      <c r="D33" s="260">
        <f t="shared" si="13"/>
        <v>-0.1547182394</v>
      </c>
      <c r="E33" s="510">
        <f t="shared" si="13"/>
        <v>-0.1663003663</v>
      </c>
    </row>
    <row r="34">
      <c r="A34" s="508" t="s">
        <v>413</v>
      </c>
      <c r="B34" s="516">
        <v>26.3212</v>
      </c>
      <c r="C34" s="516">
        <v>15.4115</v>
      </c>
      <c r="D34" s="516">
        <v>16.7811</v>
      </c>
      <c r="E34" s="517">
        <v>18.5511</v>
      </c>
    </row>
    <row r="35">
      <c r="A35" s="508" t="s">
        <v>412</v>
      </c>
      <c r="C35" s="190">
        <f t="shared" ref="C35:E35" si="14">(C34-B34)/B34</f>
        <v>-0.4144833822</v>
      </c>
      <c r="D35" s="190">
        <f t="shared" si="14"/>
        <v>0.08886870194</v>
      </c>
      <c r="E35" s="511">
        <f t="shared" si="14"/>
        <v>0.1054758031</v>
      </c>
    </row>
    <row r="36">
      <c r="A36" s="512" t="s">
        <v>414</v>
      </c>
      <c r="B36" s="513"/>
      <c r="C36" s="514">
        <f t="shared" ref="C36:E36" si="15">C33/C35</f>
        <v>-0.3834600975</v>
      </c>
      <c r="D36" s="514">
        <f t="shared" si="15"/>
        <v>-1.740975574</v>
      </c>
      <c r="E36" s="515">
        <f t="shared" si="15"/>
        <v>-1.576668405</v>
      </c>
    </row>
    <row r="38">
      <c r="A38" s="505" t="s">
        <v>419</v>
      </c>
      <c r="B38" s="506"/>
      <c r="C38" s="506"/>
      <c r="D38" s="506"/>
      <c r="E38" s="507"/>
    </row>
    <row r="39">
      <c r="A39" s="508" t="s">
        <v>411</v>
      </c>
      <c r="B39" s="516">
        <v>3.133</v>
      </c>
      <c r="C39" s="516">
        <v>3.375</v>
      </c>
      <c r="D39" s="516">
        <v>3.738</v>
      </c>
      <c r="E39" s="517">
        <v>4.396</v>
      </c>
    </row>
    <row r="40">
      <c r="A40" s="508" t="s">
        <v>412</v>
      </c>
      <c r="B40" s="203"/>
      <c r="C40" s="260">
        <f t="shared" ref="C40:E40" si="16">((C39-B39)/B39)</f>
        <v>0.07724225981</v>
      </c>
      <c r="D40" s="260">
        <f t="shared" si="16"/>
        <v>0.1075555556</v>
      </c>
      <c r="E40" s="510">
        <f t="shared" si="16"/>
        <v>0.1760299625</v>
      </c>
    </row>
    <row r="41">
      <c r="A41" s="508" t="s">
        <v>413</v>
      </c>
      <c r="B41" s="516">
        <v>53.17</v>
      </c>
      <c r="C41" s="516">
        <v>56.504</v>
      </c>
      <c r="D41" s="516">
        <v>59.5299</v>
      </c>
      <c r="E41" s="517">
        <v>63.15</v>
      </c>
    </row>
    <row r="42">
      <c r="A42" s="508" t="s">
        <v>412</v>
      </c>
      <c r="C42" s="190">
        <f t="shared" ref="C42:E42" si="17">(C41-B41)/B41</f>
        <v>0.06270453263</v>
      </c>
      <c r="D42" s="190">
        <f t="shared" si="17"/>
        <v>0.05355196092</v>
      </c>
      <c r="E42" s="511">
        <f t="shared" si="17"/>
        <v>0.06081145777</v>
      </c>
    </row>
    <row r="43">
      <c r="A43" s="512" t="s">
        <v>414</v>
      </c>
      <c r="B43" s="513"/>
      <c r="C43" s="514">
        <f t="shared" ref="C43:E43" si="18">C40/C42</f>
        <v>1.231844917</v>
      </c>
      <c r="D43" s="514">
        <f t="shared" si="18"/>
        <v>2.008433561</v>
      </c>
      <c r="E43" s="515">
        <f t="shared" si="18"/>
        <v>2.894684143</v>
      </c>
    </row>
    <row r="45">
      <c r="A45" s="505" t="s">
        <v>420</v>
      </c>
      <c r="B45" s="506"/>
      <c r="C45" s="506"/>
      <c r="D45" s="506"/>
      <c r="E45" s="507"/>
    </row>
    <row r="46">
      <c r="A46" s="508" t="s">
        <v>411</v>
      </c>
      <c r="B46" s="516">
        <v>2.622</v>
      </c>
      <c r="C46" s="516">
        <v>3.437</v>
      </c>
      <c r="D46" s="516">
        <v>3.277</v>
      </c>
      <c r="E46" s="517">
        <v>4.0</v>
      </c>
    </row>
    <row r="47">
      <c r="A47" s="508" t="s">
        <v>412</v>
      </c>
      <c r="B47" s="203"/>
      <c r="C47" s="260">
        <f t="shared" ref="C47:E47" si="19">((C46-B46)/B46)</f>
        <v>0.3108314264</v>
      </c>
      <c r="D47" s="260">
        <f t="shared" si="19"/>
        <v>-0.04655222578</v>
      </c>
      <c r="E47" s="510">
        <f t="shared" si="19"/>
        <v>0.2206286237</v>
      </c>
    </row>
    <row r="48">
      <c r="A48" s="508" t="s">
        <v>413</v>
      </c>
      <c r="B48" s="516">
        <v>137.888</v>
      </c>
      <c r="C48" s="516">
        <v>148.258</v>
      </c>
      <c r="D48" s="516">
        <v>150.039</v>
      </c>
      <c r="E48" s="517">
        <v>147.0</v>
      </c>
    </row>
    <row r="49">
      <c r="A49" s="508" t="s">
        <v>412</v>
      </c>
      <c r="C49" s="190">
        <f t="shared" ref="C49:E49" si="20">(C48-B48)/B48</f>
        <v>0.07520596426</v>
      </c>
      <c r="D49" s="190">
        <f t="shared" si="20"/>
        <v>0.01201284248</v>
      </c>
      <c r="E49" s="511">
        <f t="shared" si="20"/>
        <v>-0.02025473377</v>
      </c>
    </row>
    <row r="50">
      <c r="A50" s="512" t="s">
        <v>414</v>
      </c>
      <c r="B50" s="513"/>
      <c r="C50" s="514">
        <f t="shared" ref="C50:E50" si="21">C47/C49</f>
        <v>4.133068826</v>
      </c>
      <c r="D50" s="514">
        <f t="shared" si="21"/>
        <v>-3.875204879</v>
      </c>
      <c r="E50" s="515">
        <f t="shared" si="21"/>
        <v>-10.89269433</v>
      </c>
    </row>
    <row r="52">
      <c r="A52" s="505" t="s">
        <v>421</v>
      </c>
      <c r="B52" s="506"/>
      <c r="C52" s="506"/>
      <c r="D52" s="506"/>
      <c r="E52" s="507"/>
    </row>
    <row r="53">
      <c r="A53" s="508" t="s">
        <v>411</v>
      </c>
      <c r="B53" s="516">
        <v>2.5611</v>
      </c>
      <c r="C53" s="516">
        <v>2.3918</v>
      </c>
      <c r="D53" s="516">
        <v>2.0814</v>
      </c>
      <c r="E53" s="517">
        <v>1.6158</v>
      </c>
    </row>
    <row r="54">
      <c r="A54" s="508" t="s">
        <v>412</v>
      </c>
      <c r="B54" s="203"/>
      <c r="C54" s="260">
        <f t="shared" ref="C54:E54" si="22">((C53-B53)/B53)</f>
        <v>-0.06610440826</v>
      </c>
      <c r="D54" s="260">
        <f t="shared" si="22"/>
        <v>-0.1297767372</v>
      </c>
      <c r="E54" s="510">
        <f t="shared" si="22"/>
        <v>-0.2236955895</v>
      </c>
    </row>
    <row r="55">
      <c r="A55" s="508" t="s">
        <v>413</v>
      </c>
      <c r="B55" s="516">
        <v>71.887</v>
      </c>
      <c r="C55" s="516">
        <v>77.6497</v>
      </c>
      <c r="D55" s="516">
        <v>79.2377</v>
      </c>
      <c r="E55" s="517">
        <v>81.3706</v>
      </c>
    </row>
    <row r="56">
      <c r="A56" s="508" t="s">
        <v>412</v>
      </c>
      <c r="C56" s="190">
        <f t="shared" ref="C56:E56" si="23">(C55-B55)/B55</f>
        <v>0.08016331186</v>
      </c>
      <c r="D56" s="190">
        <f t="shared" si="23"/>
        <v>0.02045081951</v>
      </c>
      <c r="E56" s="511">
        <f t="shared" si="23"/>
        <v>0.02691774244</v>
      </c>
    </row>
    <row r="57">
      <c r="A57" s="512" t="s">
        <v>414</v>
      </c>
      <c r="B57" s="513"/>
      <c r="C57" s="514">
        <f t="shared" ref="C57:E57" si="24">C54/C56</f>
        <v>-0.8246217219</v>
      </c>
      <c r="D57" s="514">
        <f t="shared" si="24"/>
        <v>-6.345796417</v>
      </c>
      <c r="E57" s="515">
        <f t="shared" si="24"/>
        <v>-8.310339919</v>
      </c>
    </row>
    <row r="59">
      <c r="A59" s="505" t="s">
        <v>422</v>
      </c>
      <c r="B59" s="506"/>
      <c r="C59" s="506"/>
      <c r="D59" s="506"/>
      <c r="E59" s="507"/>
    </row>
    <row r="60">
      <c r="A60" s="508" t="s">
        <v>411</v>
      </c>
      <c r="B60" s="516">
        <v>4.517</v>
      </c>
      <c r="C60" s="516">
        <v>4.72</v>
      </c>
      <c r="D60" s="516">
        <v>6.046</v>
      </c>
      <c r="E60" s="517">
        <v>6.691</v>
      </c>
    </row>
    <row r="61">
      <c r="A61" s="508" t="s">
        <v>412</v>
      </c>
      <c r="B61" s="203"/>
      <c r="C61" s="260">
        <f t="shared" ref="C61:E61" si="25">((C60-B60)/B60)</f>
        <v>0.04494133274</v>
      </c>
      <c r="D61" s="260">
        <f t="shared" si="25"/>
        <v>0.2809322034</v>
      </c>
      <c r="E61" s="510">
        <f t="shared" si="25"/>
        <v>0.1066821039</v>
      </c>
    </row>
    <row r="62">
      <c r="A62" s="508" t="s">
        <v>413</v>
      </c>
      <c r="B62" s="516">
        <v>48.55</v>
      </c>
      <c r="C62" s="516">
        <v>49.936</v>
      </c>
      <c r="D62" s="516">
        <v>54.217</v>
      </c>
      <c r="E62" s="517">
        <v>57.925</v>
      </c>
    </row>
    <row r="63">
      <c r="A63" s="508" t="s">
        <v>412</v>
      </c>
      <c r="C63" s="190">
        <f t="shared" ref="C63:E63" si="26">(C62-B62)/B62</f>
        <v>0.02854788877</v>
      </c>
      <c r="D63" s="190">
        <f t="shared" si="26"/>
        <v>0.08572973406</v>
      </c>
      <c r="E63" s="511">
        <f t="shared" si="26"/>
        <v>0.06839183282</v>
      </c>
    </row>
    <row r="64">
      <c r="A64" s="512" t="s">
        <v>414</v>
      </c>
      <c r="B64" s="513"/>
      <c r="C64" s="514">
        <f t="shared" ref="C64:E64" si="27">C61/C63</f>
        <v>1.574243654</v>
      </c>
      <c r="D64" s="514">
        <f t="shared" si="27"/>
        <v>3.276951766</v>
      </c>
      <c r="E64" s="515">
        <f t="shared" si="27"/>
        <v>1.559866134</v>
      </c>
    </row>
    <row r="66">
      <c r="A66" s="505" t="s">
        <v>423</v>
      </c>
      <c r="B66" s="506"/>
      <c r="C66" s="506"/>
      <c r="D66" s="506"/>
      <c r="E66" s="507"/>
    </row>
    <row r="67">
      <c r="A67" s="508" t="s">
        <v>411</v>
      </c>
      <c r="B67" s="516">
        <v>0.3798</v>
      </c>
      <c r="C67" s="516">
        <v>0.345</v>
      </c>
      <c r="D67" s="516">
        <v>0.3855</v>
      </c>
      <c r="E67" s="517">
        <v>0.3493</v>
      </c>
    </row>
    <row r="68">
      <c r="A68" s="508" t="s">
        <v>412</v>
      </c>
      <c r="B68" s="203"/>
      <c r="C68" s="260">
        <f t="shared" ref="C68:E68" si="28">((C67-B67)/B67)</f>
        <v>-0.0916271722</v>
      </c>
      <c r="D68" s="260">
        <f t="shared" si="28"/>
        <v>0.1173913043</v>
      </c>
      <c r="E68" s="510">
        <f t="shared" si="28"/>
        <v>-0.09390402075</v>
      </c>
    </row>
    <row r="69">
      <c r="A69" s="508" t="s">
        <v>413</v>
      </c>
      <c r="B69" s="516">
        <v>2.8483</v>
      </c>
      <c r="C69" s="516">
        <v>3.0763</v>
      </c>
      <c r="D69" s="516">
        <v>3.5593</v>
      </c>
      <c r="E69" s="517">
        <v>4.2319</v>
      </c>
    </row>
    <row r="70">
      <c r="A70" s="508" t="s">
        <v>412</v>
      </c>
      <c r="C70" s="190">
        <f t="shared" ref="C70:E70" si="29">(C69-B69)/B69</f>
        <v>0.08004774778</v>
      </c>
      <c r="D70" s="190">
        <f t="shared" si="29"/>
        <v>0.1570067939</v>
      </c>
      <c r="E70" s="511">
        <f t="shared" si="29"/>
        <v>0.1889697412</v>
      </c>
    </row>
    <row r="71">
      <c r="A71" s="512" t="s">
        <v>414</v>
      </c>
      <c r="B71" s="513"/>
      <c r="C71" s="514">
        <f t="shared" ref="C71:E71" si="30">C68/C70</f>
        <v>-1.144656467</v>
      </c>
      <c r="D71" s="514">
        <f t="shared" si="30"/>
        <v>0.7476829598</v>
      </c>
      <c r="E71" s="515">
        <f t="shared" si="30"/>
        <v>-0.4969262282</v>
      </c>
    </row>
    <row r="73">
      <c r="A73" s="505" t="s">
        <v>424</v>
      </c>
      <c r="B73" s="506"/>
      <c r="C73" s="506"/>
      <c r="D73" s="506"/>
      <c r="E73" s="507"/>
      <c r="F73" s="200" t="s">
        <v>425</v>
      </c>
    </row>
    <row r="74">
      <c r="A74" s="508" t="s">
        <v>411</v>
      </c>
      <c r="B74" s="516">
        <v>1.869</v>
      </c>
      <c r="C74" s="516">
        <v>2.556</v>
      </c>
      <c r="D74" s="516">
        <v>2.042</v>
      </c>
      <c r="E74" s="517">
        <v>1.587</v>
      </c>
    </row>
    <row r="75">
      <c r="A75" s="508" t="s">
        <v>412</v>
      </c>
      <c r="B75" s="203"/>
      <c r="C75" s="260">
        <f t="shared" ref="C75:E75" si="31">((C74-B74)/B74)</f>
        <v>0.367576244</v>
      </c>
      <c r="D75" s="260">
        <f t="shared" si="31"/>
        <v>-0.2010954617</v>
      </c>
      <c r="E75" s="510">
        <f t="shared" si="31"/>
        <v>-0.222820764</v>
      </c>
    </row>
    <row r="76">
      <c r="A76" s="508" t="s">
        <v>413</v>
      </c>
      <c r="B76" s="516">
        <v>71.761</v>
      </c>
      <c r="C76" s="516">
        <v>83.088</v>
      </c>
      <c r="D76" s="516">
        <v>84.91</v>
      </c>
      <c r="E76" s="517">
        <v>88.54</v>
      </c>
    </row>
    <row r="77">
      <c r="A77" s="508" t="s">
        <v>412</v>
      </c>
      <c r="C77" s="190">
        <f t="shared" ref="C77:E77" si="32">(C76-B76)/B76</f>
        <v>0.1578433968</v>
      </c>
      <c r="D77" s="190">
        <f t="shared" si="32"/>
        <v>0.02192855767</v>
      </c>
      <c r="E77" s="511">
        <f t="shared" si="32"/>
        <v>0.04275114827</v>
      </c>
    </row>
    <row r="78">
      <c r="A78" s="512" t="s">
        <v>414</v>
      </c>
      <c r="B78" s="513"/>
      <c r="C78" s="514">
        <f t="shared" ref="C78:E78" si="33">C75/C77</f>
        <v>2.328740076</v>
      </c>
      <c r="D78" s="514">
        <f t="shared" si="33"/>
        <v>-9.170482831</v>
      </c>
      <c r="E78" s="515">
        <f t="shared" si="33"/>
        <v>-5.212041616</v>
      </c>
    </row>
    <row r="80">
      <c r="A80" s="505" t="s">
        <v>426</v>
      </c>
      <c r="B80" s="506"/>
      <c r="C80" s="506"/>
      <c r="D80" s="506"/>
      <c r="E80" s="507"/>
      <c r="F80" s="200" t="s">
        <v>427</v>
      </c>
    </row>
    <row r="81">
      <c r="A81" s="508" t="s">
        <v>411</v>
      </c>
      <c r="B81" s="516">
        <v>2.685</v>
      </c>
      <c r="C81" s="516">
        <v>1.527</v>
      </c>
      <c r="D81" s="516">
        <v>3.102</v>
      </c>
      <c r="E81" s="517">
        <v>2.888</v>
      </c>
    </row>
    <row r="82">
      <c r="A82" s="508" t="s">
        <v>412</v>
      </c>
      <c r="B82" s="203"/>
      <c r="C82" s="260">
        <f t="shared" ref="C82:E82" si="34">((C81-B81)/B81)</f>
        <v>-0.4312849162</v>
      </c>
      <c r="D82" s="260">
        <f t="shared" si="34"/>
        <v>1.031434185</v>
      </c>
      <c r="E82" s="510">
        <f t="shared" si="34"/>
        <v>-0.06898774984</v>
      </c>
    </row>
    <row r="83">
      <c r="A83" s="508" t="s">
        <v>413</v>
      </c>
      <c r="B83" s="516">
        <v>61.344</v>
      </c>
      <c r="C83" s="516">
        <v>65.322</v>
      </c>
      <c r="D83" s="516">
        <v>68.187</v>
      </c>
      <c r="E83" s="517">
        <v>71.179</v>
      </c>
    </row>
    <row r="84">
      <c r="A84" s="508" t="s">
        <v>412</v>
      </c>
      <c r="C84" s="190">
        <f t="shared" ref="C84:E84" si="35">(C83-B83)/B83</f>
        <v>0.06484741784</v>
      </c>
      <c r="D84" s="190">
        <f t="shared" si="35"/>
        <v>0.04385964912</v>
      </c>
      <c r="E84" s="511">
        <f t="shared" si="35"/>
        <v>0.04387933184</v>
      </c>
    </row>
    <row r="85">
      <c r="A85" s="512" t="s">
        <v>414</v>
      </c>
      <c r="B85" s="513"/>
      <c r="C85" s="514">
        <f t="shared" ref="C85:E85" si="36">C82/C84</f>
        <v>-6.650764681</v>
      </c>
      <c r="D85" s="514">
        <f t="shared" si="36"/>
        <v>23.51669941</v>
      </c>
      <c r="E85" s="515">
        <f t="shared" si="36"/>
        <v>-1.57221514</v>
      </c>
    </row>
    <row r="87">
      <c r="A87" s="505" t="s">
        <v>428</v>
      </c>
      <c r="B87" s="506"/>
      <c r="C87" s="506"/>
      <c r="D87" s="506"/>
      <c r="E87" s="507"/>
      <c r="F87" s="200" t="s">
        <v>429</v>
      </c>
    </row>
    <row r="88">
      <c r="A88" s="508" t="s">
        <v>411</v>
      </c>
      <c r="B88" s="516">
        <v>3.338</v>
      </c>
      <c r="C88" s="516">
        <v>3.837</v>
      </c>
      <c r="D88" s="516">
        <v>3.035</v>
      </c>
      <c r="E88" s="517">
        <v>3.439</v>
      </c>
    </row>
    <row r="89">
      <c r="A89" s="508" t="s">
        <v>412</v>
      </c>
      <c r="B89" s="203"/>
      <c r="C89" s="260">
        <f t="shared" ref="C89:E89" si="37">((C88-B88)/B88)</f>
        <v>0.149490713</v>
      </c>
      <c r="D89" s="260">
        <f t="shared" si="37"/>
        <v>-0.2090174616</v>
      </c>
      <c r="E89" s="510">
        <f t="shared" si="37"/>
        <v>0.1331136738</v>
      </c>
    </row>
    <row r="90">
      <c r="A90" s="508" t="s">
        <v>413</v>
      </c>
      <c r="B90" s="516">
        <v>75.6</v>
      </c>
      <c r="C90" s="516">
        <v>86.984</v>
      </c>
      <c r="D90" s="516">
        <v>88.734</v>
      </c>
      <c r="E90" s="517">
        <v>92.139</v>
      </c>
    </row>
    <row r="91">
      <c r="A91" s="508" t="s">
        <v>412</v>
      </c>
      <c r="C91" s="190">
        <f t="shared" ref="C91:E91" si="38">(C90-B90)/B90</f>
        <v>0.1505820106</v>
      </c>
      <c r="D91" s="190">
        <f t="shared" si="38"/>
        <v>0.02011864251</v>
      </c>
      <c r="E91" s="511">
        <f t="shared" si="38"/>
        <v>0.03837311515</v>
      </c>
    </row>
    <row r="92">
      <c r="A92" s="512" t="s">
        <v>414</v>
      </c>
      <c r="B92" s="513"/>
      <c r="C92" s="514">
        <f t="shared" ref="C92:E92" si="39">C89/C91</f>
        <v>0.9927528024</v>
      </c>
      <c r="D92" s="514">
        <f t="shared" si="39"/>
        <v>-10.38924279</v>
      </c>
      <c r="E92" s="515">
        <f t="shared" si="39"/>
        <v>3.468930611</v>
      </c>
    </row>
    <row r="94">
      <c r="A94" s="505" t="s">
        <v>430</v>
      </c>
      <c r="B94" s="506"/>
      <c r="C94" s="506"/>
      <c r="D94" s="506"/>
      <c r="E94" s="507"/>
      <c r="F94" s="200" t="s">
        <v>431</v>
      </c>
    </row>
    <row r="95">
      <c r="A95" s="508" t="s">
        <v>411</v>
      </c>
      <c r="B95" s="516">
        <v>2.789</v>
      </c>
      <c r="C95" s="516">
        <v>3.105</v>
      </c>
      <c r="D95" s="516">
        <v>2.432</v>
      </c>
      <c r="E95" s="517">
        <v>2.806</v>
      </c>
    </row>
    <row r="96">
      <c r="A96" s="508" t="s">
        <v>412</v>
      </c>
      <c r="B96" s="203"/>
      <c r="C96" s="260">
        <f t="shared" ref="C96:E96" si="40">((C95-B95)/B95)</f>
        <v>0.1133022589</v>
      </c>
      <c r="D96" s="260">
        <f t="shared" si="40"/>
        <v>-0.216747182</v>
      </c>
      <c r="E96" s="510">
        <f t="shared" si="40"/>
        <v>0.1537828947</v>
      </c>
    </row>
    <row r="97">
      <c r="A97" s="508" t="s">
        <v>413</v>
      </c>
      <c r="B97" s="516">
        <v>91.7</v>
      </c>
      <c r="C97" s="516">
        <v>99.9</v>
      </c>
      <c r="D97" s="516">
        <v>104.0</v>
      </c>
      <c r="E97" s="517">
        <v>92.139</v>
      </c>
    </row>
    <row r="98">
      <c r="A98" s="508" t="s">
        <v>412</v>
      </c>
      <c r="C98" s="190">
        <f t="shared" ref="C98:E98" si="41">(C97-B97)/B97</f>
        <v>0.08942202835</v>
      </c>
      <c r="D98" s="190">
        <f t="shared" si="41"/>
        <v>0.04104104104</v>
      </c>
      <c r="E98" s="511">
        <f t="shared" si="41"/>
        <v>-0.1140480769</v>
      </c>
    </row>
    <row r="99">
      <c r="A99" s="512" t="s">
        <v>414</v>
      </c>
      <c r="B99" s="513"/>
      <c r="C99" s="514">
        <f t="shared" ref="C99:E99" si="42">C96/C98</f>
        <v>1.267050871</v>
      </c>
      <c r="D99" s="514">
        <f t="shared" si="42"/>
        <v>-5.281230117</v>
      </c>
      <c r="E99" s="515">
        <f t="shared" si="42"/>
        <v>-1.348404102</v>
      </c>
    </row>
    <row r="101">
      <c r="A101" s="505" t="s">
        <v>432</v>
      </c>
      <c r="B101" s="506"/>
      <c r="C101" s="506"/>
      <c r="D101" s="506"/>
      <c r="E101" s="507"/>
      <c r="F101" s="200" t="s">
        <v>433</v>
      </c>
    </row>
    <row r="102">
      <c r="A102" s="508" t="s">
        <v>411</v>
      </c>
      <c r="B102" s="516">
        <v>1.2665</v>
      </c>
      <c r="C102" s="516">
        <v>1.2864</v>
      </c>
      <c r="D102" s="516">
        <v>1.4718</v>
      </c>
      <c r="E102" s="517">
        <v>1.4882</v>
      </c>
    </row>
    <row r="103">
      <c r="A103" s="508" t="s">
        <v>412</v>
      </c>
      <c r="B103" s="203"/>
      <c r="C103" s="260">
        <f t="shared" ref="C103:E103" si="43">((C102-B102)/B102)</f>
        <v>0.01571259376</v>
      </c>
      <c r="D103" s="260">
        <f t="shared" si="43"/>
        <v>0.1441231343</v>
      </c>
      <c r="E103" s="510">
        <f t="shared" si="43"/>
        <v>0.01114281832</v>
      </c>
    </row>
    <row r="104">
      <c r="A104" s="508" t="s">
        <v>413</v>
      </c>
      <c r="B104" s="516">
        <v>18.8889</v>
      </c>
      <c r="C104" s="516">
        <v>20.7246</v>
      </c>
      <c r="D104" s="516">
        <v>21.2199</v>
      </c>
      <c r="E104" s="517">
        <v>21.8364</v>
      </c>
    </row>
    <row r="105">
      <c r="A105" s="508" t="s">
        <v>412</v>
      </c>
      <c r="C105" s="190">
        <f t="shared" ref="C105:E105" si="44">(C104-B104)/B104</f>
        <v>0.09718406048</v>
      </c>
      <c r="D105" s="190">
        <f t="shared" si="44"/>
        <v>0.02389913436</v>
      </c>
      <c r="E105" s="511">
        <f t="shared" si="44"/>
        <v>0.02905291731</v>
      </c>
    </row>
    <row r="106">
      <c r="A106" s="512" t="s">
        <v>414</v>
      </c>
      <c r="B106" s="513"/>
      <c r="C106" s="514">
        <f t="shared" ref="C106:E106" si="45">C103/C105</f>
        <v>0.1616787124</v>
      </c>
      <c r="D106" s="514">
        <f t="shared" si="45"/>
        <v>6.030475085</v>
      </c>
      <c r="E106" s="515">
        <f t="shared" si="45"/>
        <v>0.3835352643</v>
      </c>
    </row>
    <row r="108">
      <c r="A108" s="505" t="s">
        <v>434</v>
      </c>
      <c r="B108" s="506"/>
      <c r="C108" s="506"/>
      <c r="D108" s="506"/>
      <c r="E108" s="507"/>
      <c r="F108" s="200" t="s">
        <v>435</v>
      </c>
    </row>
    <row r="109">
      <c r="A109" s="508" t="s">
        <v>411</v>
      </c>
      <c r="B109" s="516" t="s">
        <v>436</v>
      </c>
      <c r="C109" s="516">
        <v>0.636</v>
      </c>
      <c r="D109" s="516">
        <v>0.813</v>
      </c>
      <c r="E109" s="517">
        <v>0.957</v>
      </c>
    </row>
    <row r="110">
      <c r="A110" s="508" t="s">
        <v>412</v>
      </c>
      <c r="B110" s="203"/>
      <c r="C110" s="260" t="str">
        <f t="shared" ref="C110:E110" si="46">((C109-B109)/B109)</f>
        <v>#VALUE!</v>
      </c>
      <c r="D110" s="260">
        <f t="shared" si="46"/>
        <v>0.2783018868</v>
      </c>
      <c r="E110" s="510">
        <f t="shared" si="46"/>
        <v>0.1771217712</v>
      </c>
    </row>
    <row r="111">
      <c r="A111" s="508" t="s">
        <v>413</v>
      </c>
      <c r="B111" s="516" t="s">
        <v>436</v>
      </c>
      <c r="C111" s="516">
        <v>31.491</v>
      </c>
      <c r="D111" s="516">
        <v>32.238</v>
      </c>
      <c r="E111" s="517">
        <v>32.812</v>
      </c>
    </row>
    <row r="112">
      <c r="A112" s="508" t="s">
        <v>412</v>
      </c>
      <c r="C112" s="190" t="str">
        <f t="shared" ref="C112:E112" si="47">(C111-B111)/B111</f>
        <v>#VALUE!</v>
      </c>
      <c r="D112" s="190">
        <f t="shared" si="47"/>
        <v>0.02372106316</v>
      </c>
      <c r="E112" s="511">
        <f t="shared" si="47"/>
        <v>0.01780507476</v>
      </c>
    </row>
    <row r="113">
      <c r="A113" s="512" t="s">
        <v>414</v>
      </c>
      <c r="B113" s="513"/>
      <c r="C113" s="513" t="str">
        <f t="shared" ref="C113:E113" si="48">C110/C112</f>
        <v>#VALUE!</v>
      </c>
      <c r="D113" s="514">
        <f t="shared" si="48"/>
        <v>11.7322687</v>
      </c>
      <c r="E113" s="515">
        <f t="shared" si="48"/>
        <v>9.947825193</v>
      </c>
    </row>
    <row r="115">
      <c r="A115" s="505" t="s">
        <v>437</v>
      </c>
      <c r="B115" s="506"/>
      <c r="C115" s="506"/>
      <c r="D115" s="506"/>
      <c r="E115" s="507"/>
      <c r="F115" s="200" t="s">
        <v>438</v>
      </c>
    </row>
    <row r="116">
      <c r="A116" s="508" t="s">
        <v>411</v>
      </c>
      <c r="B116" s="516">
        <v>0.6053</v>
      </c>
      <c r="C116" s="516">
        <v>0.672</v>
      </c>
      <c r="D116" s="516">
        <v>0.8464</v>
      </c>
      <c r="E116" s="517">
        <v>0.6768</v>
      </c>
    </row>
    <row r="117">
      <c r="A117" s="508" t="s">
        <v>412</v>
      </c>
      <c r="B117" s="203"/>
      <c r="C117" s="260">
        <f t="shared" ref="C117:E117" si="49">((C116-B116)/B116)</f>
        <v>0.1101932926</v>
      </c>
      <c r="D117" s="260">
        <f t="shared" si="49"/>
        <v>0.2595238095</v>
      </c>
      <c r="E117" s="510">
        <f t="shared" si="49"/>
        <v>-0.2003780718</v>
      </c>
    </row>
    <row r="118">
      <c r="A118" s="508" t="s">
        <v>413</v>
      </c>
      <c r="B118" s="516">
        <v>10.8851</v>
      </c>
      <c r="C118" s="516">
        <v>11.9313</v>
      </c>
      <c r="D118" s="516">
        <v>13.0401</v>
      </c>
      <c r="E118" s="517">
        <v>13.8168</v>
      </c>
    </row>
    <row r="119">
      <c r="A119" s="508" t="s">
        <v>412</v>
      </c>
      <c r="C119" s="190">
        <f t="shared" ref="C119:E119" si="50">(C118-B118)/B118</f>
        <v>0.09611303525</v>
      </c>
      <c r="D119" s="190">
        <f t="shared" si="50"/>
        <v>0.09293203591</v>
      </c>
      <c r="E119" s="511">
        <f t="shared" si="50"/>
        <v>0.05956242667</v>
      </c>
    </row>
    <row r="120">
      <c r="A120" s="512" t="s">
        <v>414</v>
      </c>
      <c r="B120" s="513"/>
      <c r="C120" s="514">
        <f t="shared" ref="C120:E120" si="51">C117/C119</f>
        <v>1.146496854</v>
      </c>
      <c r="D120" s="514">
        <f t="shared" si="51"/>
        <v>2.792619434</v>
      </c>
      <c r="E120" s="515">
        <f t="shared" si="51"/>
        <v>-3.364169041</v>
      </c>
    </row>
    <row r="122">
      <c r="A122" s="505" t="s">
        <v>439</v>
      </c>
      <c r="B122" s="506"/>
      <c r="C122" s="506"/>
      <c r="D122" s="506"/>
      <c r="E122" s="507"/>
    </row>
    <row r="123">
      <c r="A123" s="508" t="s">
        <v>411</v>
      </c>
      <c r="B123" s="516">
        <v>15.8486</v>
      </c>
      <c r="C123" s="516">
        <v>25.4367</v>
      </c>
      <c r="D123" s="516">
        <v>28.8093</v>
      </c>
      <c r="E123" s="517">
        <v>28.4974</v>
      </c>
    </row>
    <row r="124">
      <c r="A124" s="508" t="s">
        <v>412</v>
      </c>
      <c r="B124" s="203"/>
      <c r="C124" s="260">
        <f t="shared" ref="C124:E124" si="52">((C123-B123)/B123)</f>
        <v>0.6049808816</v>
      </c>
      <c r="D124" s="260">
        <f t="shared" si="52"/>
        <v>0.1325879536</v>
      </c>
      <c r="E124" s="510">
        <f t="shared" si="52"/>
        <v>-0.0108263651</v>
      </c>
    </row>
    <row r="125">
      <c r="A125" s="508" t="s">
        <v>413</v>
      </c>
      <c r="B125" s="516">
        <v>140.4801</v>
      </c>
      <c r="C125" s="516">
        <v>262.1324</v>
      </c>
      <c r="D125" s="516">
        <v>293.7796</v>
      </c>
      <c r="E125" s="517">
        <v>313.642</v>
      </c>
    </row>
    <row r="126">
      <c r="A126" s="508" t="s">
        <v>412</v>
      </c>
      <c r="C126" s="190">
        <f t="shared" ref="C126:E126" si="53">(C125-B125)/B125</f>
        <v>0.8659753232</v>
      </c>
      <c r="D126" s="190">
        <f t="shared" si="53"/>
        <v>0.1207298297</v>
      </c>
      <c r="E126" s="511">
        <f t="shared" si="53"/>
        <v>0.06760986808</v>
      </c>
    </row>
    <row r="127">
      <c r="A127" s="512" t="s">
        <v>414</v>
      </c>
      <c r="B127" s="513"/>
      <c r="C127" s="514">
        <f t="shared" ref="C127:E127" si="54">C124/C126</f>
        <v>0.6986121491</v>
      </c>
      <c r="D127" s="514">
        <f t="shared" si="54"/>
        <v>1.098220332</v>
      </c>
      <c r="E127" s="515">
        <f t="shared" si="54"/>
        <v>-0.1601299545</v>
      </c>
    </row>
    <row r="130">
      <c r="A130" s="505" t="s">
        <v>440</v>
      </c>
      <c r="B130" s="506"/>
      <c r="C130" s="506"/>
      <c r="D130" s="506"/>
      <c r="E130" s="507"/>
      <c r="F130" s="200" t="s">
        <v>441</v>
      </c>
    </row>
    <row r="131">
      <c r="A131" s="508" t="s">
        <v>411</v>
      </c>
      <c r="B131" s="516">
        <v>0.6081</v>
      </c>
      <c r="C131" s="516">
        <v>0.7323</v>
      </c>
      <c r="D131" s="516">
        <v>0.7982</v>
      </c>
      <c r="E131" s="517">
        <v>0.8261</v>
      </c>
    </row>
    <row r="132">
      <c r="A132" s="508" t="s">
        <v>412</v>
      </c>
      <c r="B132" s="203"/>
      <c r="C132" s="260">
        <f t="shared" ref="C132:E132" si="55">((C131-B131)/B131)</f>
        <v>0.2042427232</v>
      </c>
      <c r="D132" s="260">
        <f t="shared" si="55"/>
        <v>0.08999044108</v>
      </c>
      <c r="E132" s="510">
        <f t="shared" si="55"/>
        <v>0.0349536457</v>
      </c>
    </row>
    <row r="133">
      <c r="A133" s="508" t="s">
        <v>413</v>
      </c>
      <c r="B133" s="516">
        <v>16.6673</v>
      </c>
      <c r="C133" s="516">
        <v>19.3151</v>
      </c>
      <c r="D133" s="516">
        <v>19.9686</v>
      </c>
      <c r="E133" s="517">
        <v>20.9116</v>
      </c>
    </row>
    <row r="134">
      <c r="A134" s="508" t="s">
        <v>412</v>
      </c>
      <c r="C134" s="190">
        <f t="shared" ref="C134:E134" si="56">(C133-B133)/B133</f>
        <v>0.1588619632</v>
      </c>
      <c r="D134" s="190">
        <f t="shared" si="56"/>
        <v>0.03383363275</v>
      </c>
      <c r="E134" s="511">
        <f t="shared" si="56"/>
        <v>0.0472241419</v>
      </c>
    </row>
    <row r="135">
      <c r="A135" s="512" t="s">
        <v>414</v>
      </c>
      <c r="B135" s="513"/>
      <c r="C135" s="514">
        <f t="shared" ref="C135:E135" si="57">C132/C134</f>
        <v>1.285661584</v>
      </c>
      <c r="D135" s="514">
        <f t="shared" si="57"/>
        <v>2.659792454</v>
      </c>
      <c r="E135" s="515">
        <f t="shared" si="57"/>
        <v>0.740164761</v>
      </c>
    </row>
    <row r="137">
      <c r="A137" s="505" t="s">
        <v>442</v>
      </c>
      <c r="B137" s="506"/>
      <c r="C137" s="506"/>
      <c r="D137" s="506"/>
      <c r="E137" s="507"/>
    </row>
    <row r="138">
      <c r="A138" s="508" t="s">
        <v>411</v>
      </c>
      <c r="B138" s="516">
        <v>0.09484</v>
      </c>
      <c r="C138" s="516">
        <v>0.1269</v>
      </c>
      <c r="D138" s="516">
        <v>0.08414</v>
      </c>
      <c r="E138" s="517">
        <v>0.02854</v>
      </c>
    </row>
    <row r="139">
      <c r="A139" s="508" t="s">
        <v>412</v>
      </c>
      <c r="B139" s="203"/>
      <c r="C139" s="260">
        <f t="shared" ref="C139:E139" si="58">((C138-B138)/B138)</f>
        <v>0.3380430198</v>
      </c>
      <c r="D139" s="260">
        <f t="shared" si="58"/>
        <v>-0.3369582348</v>
      </c>
      <c r="E139" s="510">
        <f t="shared" si="58"/>
        <v>-0.6608034229</v>
      </c>
    </row>
    <row r="140">
      <c r="A140" s="508" t="s">
        <v>413</v>
      </c>
      <c r="B140" s="516">
        <v>3.5781</v>
      </c>
      <c r="C140" s="516">
        <v>3.9694</v>
      </c>
      <c r="D140" s="516">
        <v>4.3715</v>
      </c>
      <c r="E140" s="517">
        <v>4.5713</v>
      </c>
    </row>
    <row r="141">
      <c r="A141" s="508" t="s">
        <v>412</v>
      </c>
      <c r="C141" s="190">
        <f t="shared" ref="C141:E141" si="59">(C140-B140)/B140</f>
        <v>0.1093597161</v>
      </c>
      <c r="D141" s="190">
        <f t="shared" si="59"/>
        <v>0.1012999446</v>
      </c>
      <c r="E141" s="511">
        <f t="shared" si="59"/>
        <v>0.04570513554</v>
      </c>
    </row>
    <row r="142">
      <c r="A142" s="512" t="s">
        <v>414</v>
      </c>
      <c r="B142" s="513"/>
      <c r="C142" s="514">
        <f t="shared" ref="C142:E142" si="60">C139/C141</f>
        <v>3.091110987</v>
      </c>
      <c r="D142" s="514">
        <f t="shared" si="60"/>
        <v>-3.326341749</v>
      </c>
      <c r="E142" s="515">
        <f t="shared" si="60"/>
        <v>-14.45796878</v>
      </c>
    </row>
    <row r="144">
      <c r="A144" s="505" t="s">
        <v>443</v>
      </c>
      <c r="B144" s="506"/>
      <c r="C144" s="506"/>
      <c r="D144" s="506"/>
      <c r="E144" s="507"/>
      <c r="G144" s="505" t="s">
        <v>442</v>
      </c>
    </row>
    <row r="145">
      <c r="A145" s="508" t="s">
        <v>411</v>
      </c>
      <c r="B145" s="516">
        <v>0.3827</v>
      </c>
      <c r="C145" s="516">
        <v>0.3005</v>
      </c>
      <c r="D145" s="516">
        <v>0.1613</v>
      </c>
      <c r="E145" s="517">
        <v>0.09369</v>
      </c>
      <c r="G145" s="505" t="s">
        <v>443</v>
      </c>
    </row>
    <row r="146">
      <c r="A146" s="508" t="s">
        <v>412</v>
      </c>
      <c r="B146" s="203"/>
      <c r="C146" s="260">
        <f t="shared" ref="C146:E146" si="61">((C145-B145)/B145)</f>
        <v>-0.2147896525</v>
      </c>
      <c r="D146" s="260">
        <f t="shared" si="61"/>
        <v>-0.4632279534</v>
      </c>
      <c r="E146" s="510">
        <f t="shared" si="61"/>
        <v>-0.4191568506</v>
      </c>
      <c r="G146" s="505" t="s">
        <v>444</v>
      </c>
    </row>
    <row r="147">
      <c r="A147" s="508" t="s">
        <v>413</v>
      </c>
      <c r="B147" s="516">
        <v>5.6788</v>
      </c>
      <c r="C147" s="516">
        <v>5.8927</v>
      </c>
      <c r="D147" s="516">
        <v>5.6396</v>
      </c>
      <c r="E147" s="517">
        <v>5.363</v>
      </c>
      <c r="G147" s="505" t="s">
        <v>445</v>
      </c>
    </row>
    <row r="148">
      <c r="A148" s="508" t="s">
        <v>412</v>
      </c>
      <c r="C148" s="190">
        <f t="shared" ref="C148:E148" si="62">(C147-B147)/B147</f>
        <v>0.0376664084</v>
      </c>
      <c r="D148" s="190">
        <f t="shared" si="62"/>
        <v>-0.0429514484</v>
      </c>
      <c r="E148" s="511">
        <f t="shared" si="62"/>
        <v>-0.04904603163</v>
      </c>
      <c r="G148" s="505" t="s">
        <v>446</v>
      </c>
    </row>
    <row r="149">
      <c r="A149" s="512" t="s">
        <v>414</v>
      </c>
      <c r="B149" s="513"/>
      <c r="C149" s="514">
        <f t="shared" ref="C149:E149" si="63">C146/C148</f>
        <v>-5.702419254</v>
      </c>
      <c r="D149" s="514">
        <f t="shared" si="63"/>
        <v>10.78492043</v>
      </c>
      <c r="E149" s="515">
        <f t="shared" si="63"/>
        <v>8.546192967</v>
      </c>
      <c r="G149" s="505" t="s">
        <v>447</v>
      </c>
    </row>
    <row r="150">
      <c r="G150" s="505" t="s">
        <v>448</v>
      </c>
    </row>
    <row r="151">
      <c r="A151" s="505" t="s">
        <v>444</v>
      </c>
      <c r="B151" s="506"/>
      <c r="C151" s="506"/>
      <c r="D151" s="506"/>
      <c r="E151" s="507"/>
    </row>
    <row r="152">
      <c r="A152" s="508" t="s">
        <v>411</v>
      </c>
      <c r="B152" s="516">
        <v>0.15702</v>
      </c>
      <c r="C152" s="516">
        <v>0.13719</v>
      </c>
      <c r="D152" s="516">
        <v>0.1317</v>
      </c>
      <c r="E152" s="517">
        <v>0.11965</v>
      </c>
    </row>
    <row r="153">
      <c r="A153" s="508" t="s">
        <v>412</v>
      </c>
      <c r="B153" s="203"/>
      <c r="C153" s="260">
        <f t="shared" ref="C153:E153" si="64">((C152-B152)/B152)</f>
        <v>-0.1262896446</v>
      </c>
      <c r="D153" s="260">
        <f t="shared" si="64"/>
        <v>-0.04001749399</v>
      </c>
      <c r="E153" s="510">
        <f t="shared" si="64"/>
        <v>-0.09149582384</v>
      </c>
    </row>
    <row r="154">
      <c r="A154" s="508" t="s">
        <v>413</v>
      </c>
      <c r="B154" s="516">
        <v>4.7139</v>
      </c>
      <c r="C154" s="516">
        <v>4.7145</v>
      </c>
      <c r="D154" s="516">
        <v>4.7917</v>
      </c>
      <c r="E154" s="517">
        <v>4.8948</v>
      </c>
    </row>
    <row r="155">
      <c r="A155" s="508" t="s">
        <v>412</v>
      </c>
      <c r="C155" s="190">
        <f t="shared" ref="C155:E155" si="65">(C154-B154)/B154</f>
        <v>0.0001272831413</v>
      </c>
      <c r="D155" s="190">
        <f t="shared" si="65"/>
        <v>0.01637501326</v>
      </c>
      <c r="E155" s="511">
        <f t="shared" si="65"/>
        <v>0.02151637206</v>
      </c>
    </row>
    <row r="156">
      <c r="A156" s="512" t="s">
        <v>414</v>
      </c>
      <c r="B156" s="513"/>
      <c r="C156" s="514">
        <f t="shared" ref="C156:E156" si="66">C153/C155</f>
        <v>-992.194593</v>
      </c>
      <c r="D156" s="514">
        <f t="shared" si="66"/>
        <v>-2.443814448</v>
      </c>
      <c r="E156" s="515">
        <f t="shared" si="66"/>
        <v>-4.252381563</v>
      </c>
    </row>
    <row r="158">
      <c r="A158" s="505" t="s">
        <v>445</v>
      </c>
      <c r="B158" s="506"/>
      <c r="C158" s="506"/>
      <c r="D158" s="506"/>
      <c r="E158" s="507"/>
    </row>
    <row r="159">
      <c r="A159" s="508" t="s">
        <v>411</v>
      </c>
      <c r="B159" s="516">
        <v>0.6128</v>
      </c>
      <c r="C159" s="516">
        <v>0.3739</v>
      </c>
      <c r="D159" s="516">
        <v>0.5441</v>
      </c>
      <c r="E159" s="517">
        <v>0.7443</v>
      </c>
    </row>
    <row r="160">
      <c r="A160" s="508" t="s">
        <v>412</v>
      </c>
      <c r="B160" s="203"/>
      <c r="C160" s="260">
        <f t="shared" ref="C160:E160" si="67">((C159-B159)/B159)</f>
        <v>-0.3898498695</v>
      </c>
      <c r="D160" s="260">
        <f t="shared" si="67"/>
        <v>0.4552019256</v>
      </c>
      <c r="E160" s="510">
        <f t="shared" si="67"/>
        <v>0.3679470686</v>
      </c>
    </row>
    <row r="161">
      <c r="A161" s="508" t="s">
        <v>413</v>
      </c>
      <c r="B161" s="516">
        <v>9.3222</v>
      </c>
      <c r="C161" s="516">
        <v>8.7026</v>
      </c>
      <c r="D161" s="516">
        <v>9.7274</v>
      </c>
      <c r="E161" s="517">
        <v>10.6348</v>
      </c>
    </row>
    <row r="162">
      <c r="A162" s="508" t="s">
        <v>412</v>
      </c>
      <c r="C162" s="190">
        <f t="shared" ref="C162:E162" si="68">(C161-B161)/B161</f>
        <v>-0.06646499753</v>
      </c>
      <c r="D162" s="190">
        <f t="shared" si="68"/>
        <v>0.1177579114</v>
      </c>
      <c r="E162" s="511">
        <f t="shared" si="68"/>
        <v>0.09328289163</v>
      </c>
    </row>
    <row r="163">
      <c r="A163" s="512" t="s">
        <v>414</v>
      </c>
      <c r="B163" s="513"/>
      <c r="C163" s="514">
        <f t="shared" ref="C163:E163" si="69">C160/C162</f>
        <v>5.86549137</v>
      </c>
      <c r="D163" s="514">
        <f t="shared" si="69"/>
        <v>3.865574042</v>
      </c>
      <c r="E163" s="515">
        <f t="shared" si="69"/>
        <v>3.944421771</v>
      </c>
    </row>
    <row r="165">
      <c r="A165" s="505" t="s">
        <v>446</v>
      </c>
      <c r="B165" s="506"/>
      <c r="C165" s="506"/>
      <c r="D165" s="506"/>
      <c r="E165" s="507"/>
    </row>
    <row r="166">
      <c r="A166" s="508" t="s">
        <v>411</v>
      </c>
      <c r="B166" s="516">
        <v>0.3693</v>
      </c>
      <c r="C166" s="516">
        <v>0.3563</v>
      </c>
      <c r="D166" s="516">
        <v>0.5117</v>
      </c>
      <c r="E166" s="517">
        <v>0.6751</v>
      </c>
    </row>
    <row r="167">
      <c r="A167" s="508" t="s">
        <v>412</v>
      </c>
      <c r="B167" s="203"/>
      <c r="C167" s="260">
        <f t="shared" ref="C167:E167" si="70">((C166-B166)/B166)</f>
        <v>-0.03520173301</v>
      </c>
      <c r="D167" s="260">
        <f t="shared" si="70"/>
        <v>0.4361493124</v>
      </c>
      <c r="E167" s="510">
        <f t="shared" si="70"/>
        <v>0.3193277311</v>
      </c>
    </row>
    <row r="168">
      <c r="A168" s="508" t="s">
        <v>413</v>
      </c>
      <c r="B168" s="516">
        <v>6.4042</v>
      </c>
      <c r="C168" s="516">
        <v>6.8373</v>
      </c>
      <c r="D168" s="516">
        <v>7.7192</v>
      </c>
      <c r="E168" s="517">
        <v>8.6536</v>
      </c>
    </row>
    <row r="169">
      <c r="A169" s="508" t="s">
        <v>412</v>
      </c>
      <c r="C169" s="190">
        <f t="shared" ref="C169:E169" si="71">(C168-B168)/B168</f>
        <v>0.06762749446</v>
      </c>
      <c r="D169" s="190">
        <f t="shared" si="71"/>
        <v>0.1289836631</v>
      </c>
      <c r="E169" s="511">
        <f t="shared" si="71"/>
        <v>0.1210488133</v>
      </c>
    </row>
    <row r="170">
      <c r="A170" s="512" t="s">
        <v>414</v>
      </c>
      <c r="B170" s="513"/>
      <c r="C170" s="514">
        <f t="shared" ref="C170:E170" si="72">C167/C169</f>
        <v>-0.5205239865</v>
      </c>
      <c r="D170" s="514">
        <f t="shared" si="72"/>
        <v>3.381430654</v>
      </c>
      <c r="E170" s="515">
        <f t="shared" si="72"/>
        <v>2.638007943</v>
      </c>
    </row>
    <row r="172">
      <c r="A172" s="505" t="s">
        <v>447</v>
      </c>
      <c r="B172" s="506"/>
      <c r="C172" s="506"/>
      <c r="D172" s="506"/>
      <c r="E172" s="507"/>
    </row>
    <row r="173">
      <c r="A173" s="508" t="s">
        <v>411</v>
      </c>
      <c r="B173" s="516">
        <v>2.3337</v>
      </c>
      <c r="C173" s="516">
        <v>2.068</v>
      </c>
      <c r="D173" s="516">
        <v>2.5458</v>
      </c>
      <c r="E173" s="517">
        <v>2.8205</v>
      </c>
    </row>
    <row r="174">
      <c r="A174" s="508" t="s">
        <v>412</v>
      </c>
      <c r="B174" s="203"/>
      <c r="C174" s="260">
        <f t="shared" ref="C174:E174" si="73">((C173-B173)/B173)</f>
        <v>-0.1138535373</v>
      </c>
      <c r="D174" s="260">
        <f t="shared" si="73"/>
        <v>0.2310444874</v>
      </c>
      <c r="E174" s="510">
        <f t="shared" si="73"/>
        <v>0.1079032131</v>
      </c>
    </row>
    <row r="175">
      <c r="A175" s="508" t="s">
        <v>413</v>
      </c>
      <c r="B175" s="516">
        <v>18.9162</v>
      </c>
      <c r="C175" s="516">
        <v>18.6958</v>
      </c>
      <c r="D175" s="516">
        <v>20.3769</v>
      </c>
      <c r="E175" s="517">
        <v>21.1292</v>
      </c>
    </row>
    <row r="176">
      <c r="A176" s="508" t="s">
        <v>412</v>
      </c>
      <c r="C176" s="190">
        <f t="shared" ref="C176:E176" si="74">(C175-B175)/B175</f>
        <v>-0.01165138876</v>
      </c>
      <c r="D176" s="190">
        <f t="shared" si="74"/>
        <v>0.08991859134</v>
      </c>
      <c r="E176" s="511">
        <f t="shared" si="74"/>
        <v>0.03691925661</v>
      </c>
    </row>
    <row r="177">
      <c r="A177" s="512" t="s">
        <v>414</v>
      </c>
      <c r="B177" s="513"/>
      <c r="C177" s="514">
        <f t="shared" ref="C177:E177" si="75">C174/C176</f>
        <v>9.771670972</v>
      </c>
      <c r="D177" s="514">
        <f t="shared" si="75"/>
        <v>2.569485175</v>
      </c>
      <c r="E177" s="515">
        <f t="shared" si="75"/>
        <v>2.92268109</v>
      </c>
    </row>
    <row r="179">
      <c r="A179" s="505" t="s">
        <v>264</v>
      </c>
      <c r="B179" s="506"/>
      <c r="C179" s="506"/>
      <c r="D179" s="506"/>
      <c r="E179" s="507"/>
    </row>
    <row r="180">
      <c r="A180" s="508" t="s">
        <v>411</v>
      </c>
      <c r="B180" s="516">
        <v>7.998</v>
      </c>
      <c r="C180" s="516">
        <v>8.647</v>
      </c>
      <c r="D180" s="516">
        <v>9.909</v>
      </c>
      <c r="E180" s="517">
        <v>10.972</v>
      </c>
    </row>
    <row r="181">
      <c r="A181" s="508" t="s">
        <v>412</v>
      </c>
      <c r="B181" s="203"/>
      <c r="C181" s="260">
        <f t="shared" ref="C181:E181" si="76">((C180-B180)/B180)</f>
        <v>0.08114528632</v>
      </c>
      <c r="D181" s="260">
        <f t="shared" si="76"/>
        <v>0.1459465711</v>
      </c>
      <c r="E181" s="510">
        <f t="shared" si="76"/>
        <v>0.1072762135</v>
      </c>
    </row>
    <row r="182">
      <c r="A182" s="508" t="s">
        <v>413</v>
      </c>
      <c r="B182" s="516">
        <v>226.954</v>
      </c>
      <c r="C182" s="516">
        <v>242.29</v>
      </c>
      <c r="D182" s="516">
        <v>254.453</v>
      </c>
      <c r="E182" s="517">
        <v>275.235</v>
      </c>
    </row>
    <row r="183">
      <c r="A183" s="508" t="s">
        <v>412</v>
      </c>
      <c r="C183" s="190">
        <f t="shared" ref="C183:E183" si="77">(C182-B182)/B182</f>
        <v>0.06757316461</v>
      </c>
      <c r="D183" s="190">
        <f t="shared" si="77"/>
        <v>0.05020017335</v>
      </c>
      <c r="E183" s="511">
        <f t="shared" si="77"/>
        <v>0.08167323631</v>
      </c>
      <c r="F183" s="11" t="s">
        <v>227</v>
      </c>
    </row>
    <row r="184">
      <c r="A184" s="512" t="s">
        <v>414</v>
      </c>
      <c r="B184" s="513"/>
      <c r="C184" s="514">
        <f t="shared" ref="C184:E184" si="78">C181/C183</f>
        <v>1.200850764</v>
      </c>
      <c r="D184" s="514">
        <f t="shared" si="78"/>
        <v>2.907292173</v>
      </c>
      <c r="E184" s="515">
        <f t="shared" si="78"/>
        <v>1.313480626</v>
      </c>
      <c r="F184" s="518">
        <f>AVERAGE(C184:E184)</f>
        <v>1.807207854</v>
      </c>
    </row>
    <row r="186">
      <c r="A186" s="519"/>
      <c r="B186" s="519"/>
      <c r="C186" s="519"/>
      <c r="D186" s="519"/>
      <c r="E186" s="519"/>
      <c r="F186" s="519"/>
      <c r="G186" s="519"/>
      <c r="H186" s="519"/>
      <c r="I186" s="519"/>
      <c r="J186" s="519"/>
      <c r="K186" s="519"/>
      <c r="L186" s="519"/>
      <c r="M186" s="519"/>
      <c r="N186" s="519"/>
      <c r="O186" s="519"/>
      <c r="P186" s="519"/>
      <c r="Q186" s="519"/>
      <c r="R186" s="519"/>
      <c r="S186" s="519"/>
      <c r="T186" s="519"/>
      <c r="U186" s="519"/>
      <c r="V186" s="519"/>
      <c r="W186" s="519"/>
      <c r="X186" s="519"/>
      <c r="Y186" s="519"/>
      <c r="Z186" s="519"/>
    </row>
    <row r="188">
      <c r="A188" s="520" t="s">
        <v>449</v>
      </c>
    </row>
    <row r="189">
      <c r="A189" s="11"/>
    </row>
    <row r="190">
      <c r="A190" s="505" t="s">
        <v>450</v>
      </c>
      <c r="B190" s="506"/>
      <c r="C190" s="506"/>
      <c r="D190" s="506"/>
      <c r="E190" s="507"/>
    </row>
    <row r="191">
      <c r="A191" s="508" t="s">
        <v>411</v>
      </c>
      <c r="B191" s="516">
        <v>5.9701</v>
      </c>
      <c r="C191" s="516">
        <v>6.954</v>
      </c>
      <c r="D191" s="516">
        <v>10.6843</v>
      </c>
      <c r="E191" s="517">
        <v>12.8237</v>
      </c>
    </row>
    <row r="192">
      <c r="A192" s="508" t="s">
        <v>412</v>
      </c>
      <c r="B192" s="203"/>
      <c r="C192" s="260">
        <f t="shared" ref="C192:E192" si="79">((C191-B191)/B191)</f>
        <v>0.1648046096</v>
      </c>
      <c r="D192" s="260">
        <f t="shared" si="79"/>
        <v>0.5364250791</v>
      </c>
      <c r="E192" s="510">
        <f t="shared" si="79"/>
        <v>0.200237732</v>
      </c>
    </row>
    <row r="193">
      <c r="A193" s="508" t="s">
        <v>413</v>
      </c>
      <c r="B193" s="516">
        <v>31.6155</v>
      </c>
      <c r="C193" s="516">
        <v>33.7232</v>
      </c>
      <c r="D193" s="516">
        <v>39.001</v>
      </c>
      <c r="E193" s="517">
        <v>43.3787</v>
      </c>
    </row>
    <row r="194">
      <c r="A194" s="508" t="s">
        <v>412</v>
      </c>
      <c r="C194" s="190">
        <f t="shared" ref="C194:E194" si="80">(C193-B193)/B193</f>
        <v>0.06666666667</v>
      </c>
      <c r="D194" s="190">
        <f t="shared" si="80"/>
        <v>0.1565035347</v>
      </c>
      <c r="E194" s="511">
        <f t="shared" si="80"/>
        <v>0.1122458399</v>
      </c>
    </row>
    <row r="195">
      <c r="A195" s="512" t="s">
        <v>414</v>
      </c>
      <c r="B195" s="513"/>
      <c r="C195" s="514">
        <f t="shared" ref="C195:E195" si="81">C192/C194</f>
        <v>2.472069145</v>
      </c>
      <c r="D195" s="514">
        <f t="shared" si="81"/>
        <v>3.427558874</v>
      </c>
      <c r="E195" s="515">
        <f t="shared" si="81"/>
        <v>1.783921188</v>
      </c>
    </row>
    <row r="197">
      <c r="A197" s="505" t="s">
        <v>451</v>
      </c>
      <c r="B197" s="506"/>
      <c r="C197" s="506"/>
      <c r="D197" s="506"/>
      <c r="E197" s="507"/>
    </row>
    <row r="198">
      <c r="A198" s="508" t="s">
        <v>411</v>
      </c>
      <c r="B198" s="516">
        <v>-3.569</v>
      </c>
      <c r="C198" s="516">
        <v>40.739</v>
      </c>
      <c r="D198" s="516">
        <v>71.02</v>
      </c>
      <c r="E198" s="517">
        <v>95.22</v>
      </c>
    </row>
    <row r="199">
      <c r="A199" s="508" t="s">
        <v>412</v>
      </c>
      <c r="B199" s="203"/>
      <c r="C199" s="260">
        <f t="shared" ref="C199:E199" si="82">((C198-B198)/B198)</f>
        <v>-12.41468198</v>
      </c>
      <c r="D199" s="260">
        <f t="shared" si="82"/>
        <v>0.743292668</v>
      </c>
      <c r="E199" s="510">
        <f t="shared" si="82"/>
        <v>0.3407490848</v>
      </c>
    </row>
    <row r="200">
      <c r="A200" s="508" t="s">
        <v>413</v>
      </c>
      <c r="B200" s="516">
        <v>513.983</v>
      </c>
      <c r="C200" s="516">
        <v>574.785</v>
      </c>
      <c r="D200" s="516">
        <v>637.959</v>
      </c>
      <c r="E200" s="517">
        <v>691.33</v>
      </c>
    </row>
    <row r="201">
      <c r="A201" s="508" t="s">
        <v>412</v>
      </c>
      <c r="C201" s="190">
        <f t="shared" ref="C201:E201" si="83">(C200-B200)/B200</f>
        <v>0.1182957413</v>
      </c>
      <c r="D201" s="190">
        <f t="shared" si="83"/>
        <v>0.1099089225</v>
      </c>
      <c r="E201" s="511">
        <f t="shared" si="83"/>
        <v>0.08365898122</v>
      </c>
    </row>
    <row r="202">
      <c r="A202" s="512" t="s">
        <v>414</v>
      </c>
      <c r="B202" s="513"/>
      <c r="C202" s="514">
        <f t="shared" ref="C202:E202" si="84">C199/C201</f>
        <v>-104.9461447</v>
      </c>
      <c r="D202" s="514">
        <f t="shared" si="84"/>
        <v>6.762805524</v>
      </c>
      <c r="E202" s="515">
        <f t="shared" si="84"/>
        <v>4.073072368</v>
      </c>
    </row>
    <row r="204">
      <c r="A204" s="505" t="s">
        <v>452</v>
      </c>
      <c r="B204" s="506"/>
      <c r="C204" s="506"/>
      <c r="D204" s="506"/>
      <c r="E204" s="507"/>
    </row>
    <row r="205">
      <c r="A205" s="508" t="s">
        <v>411</v>
      </c>
      <c r="B205" s="516">
        <v>0.2501</v>
      </c>
      <c r="C205" s="516">
        <v>0.2941</v>
      </c>
      <c r="D205" s="516">
        <v>0.3467</v>
      </c>
      <c r="E205" s="517">
        <v>0.4038</v>
      </c>
    </row>
    <row r="206">
      <c r="A206" s="508" t="s">
        <v>412</v>
      </c>
      <c r="B206" s="203"/>
      <c r="C206" s="260">
        <f t="shared" ref="C206:E206" si="85">((C205-B205)/B205)</f>
        <v>0.1759296281</v>
      </c>
      <c r="D206" s="260">
        <f t="shared" si="85"/>
        <v>0.178850731</v>
      </c>
      <c r="E206" s="510">
        <f t="shared" si="85"/>
        <v>0.1646957023</v>
      </c>
    </row>
    <row r="207">
      <c r="A207" s="508" t="s">
        <v>413</v>
      </c>
      <c r="B207" s="516">
        <v>0.9367</v>
      </c>
      <c r="C207" s="516">
        <v>1.0713</v>
      </c>
      <c r="D207" s="516">
        <v>1.1816</v>
      </c>
      <c r="E207" s="517">
        <v>1.2883</v>
      </c>
    </row>
    <row r="208">
      <c r="A208" s="508" t="s">
        <v>412</v>
      </c>
      <c r="C208" s="190">
        <f t="shared" ref="C208:E208" si="86">(C207-B207)/B207</f>
        <v>0.1436959539</v>
      </c>
      <c r="D208" s="190">
        <f t="shared" si="86"/>
        <v>0.1029590217</v>
      </c>
      <c r="E208" s="511">
        <f t="shared" si="86"/>
        <v>0.09030128639</v>
      </c>
    </row>
    <row r="209">
      <c r="A209" s="512" t="s">
        <v>414</v>
      </c>
      <c r="B209" s="513"/>
      <c r="C209" s="514">
        <f t="shared" ref="C209:E209" si="87">C206/C208</f>
        <v>1.224318594</v>
      </c>
      <c r="D209" s="514">
        <f t="shared" si="87"/>
        <v>1.737105967</v>
      </c>
      <c r="E209" s="515">
        <f t="shared" si="87"/>
        <v>1.823846691</v>
      </c>
    </row>
    <row r="211">
      <c r="A211" s="505" t="s">
        <v>453</v>
      </c>
      <c r="B211" s="506"/>
      <c r="C211" s="506"/>
      <c r="D211" s="506"/>
      <c r="E211" s="507"/>
    </row>
    <row r="212">
      <c r="A212" s="508" t="s">
        <v>411</v>
      </c>
      <c r="B212" s="516">
        <v>85.779</v>
      </c>
      <c r="C212" s="516">
        <v>91.279</v>
      </c>
      <c r="D212" s="516">
        <v>110.722</v>
      </c>
      <c r="E212" s="517">
        <v>130.16</v>
      </c>
    </row>
    <row r="213">
      <c r="A213" s="508" t="s">
        <v>412</v>
      </c>
      <c r="B213" s="203"/>
      <c r="C213" s="260">
        <f t="shared" ref="C213:E213" si="88">((C212-B212)/B212)</f>
        <v>0.06411825738</v>
      </c>
      <c r="D213" s="260">
        <f t="shared" si="88"/>
        <v>0.2130062775</v>
      </c>
      <c r="E213" s="510">
        <f t="shared" si="88"/>
        <v>0.1755567999</v>
      </c>
    </row>
    <row r="214">
      <c r="A214" s="508" t="s">
        <v>413</v>
      </c>
      <c r="B214" s="516">
        <v>198.27</v>
      </c>
      <c r="C214" s="516">
        <v>211.915</v>
      </c>
      <c r="D214" s="516">
        <v>245.122</v>
      </c>
      <c r="E214" s="517">
        <v>293.812</v>
      </c>
    </row>
    <row r="215">
      <c r="A215" s="508" t="s">
        <v>412</v>
      </c>
      <c r="C215" s="190">
        <f t="shared" ref="C215:E215" si="89">(C214-B214)/B214</f>
        <v>0.06882029556</v>
      </c>
      <c r="D215" s="190">
        <f t="shared" si="89"/>
        <v>0.1566996201</v>
      </c>
      <c r="E215" s="511">
        <f t="shared" si="89"/>
        <v>0.1986357814</v>
      </c>
    </row>
    <row r="216">
      <c r="A216" s="512" t="s">
        <v>414</v>
      </c>
      <c r="B216" s="513"/>
      <c r="C216" s="514">
        <f t="shared" ref="C216:E216" si="90">C213/C215</f>
        <v>0.9316765769</v>
      </c>
      <c r="D216" s="514">
        <f t="shared" si="90"/>
        <v>1.359328614</v>
      </c>
      <c r="E216" s="515">
        <f t="shared" si="90"/>
        <v>0.8838125674</v>
      </c>
    </row>
    <row r="218">
      <c r="A218" s="505" t="s">
        <v>454</v>
      </c>
      <c r="B218" s="506"/>
      <c r="C218" s="506"/>
      <c r="D218" s="506"/>
      <c r="E218" s="507"/>
    </row>
    <row r="219">
      <c r="A219" s="508" t="s">
        <v>411</v>
      </c>
      <c r="B219" s="516">
        <v>0.3565</v>
      </c>
      <c r="C219" s="516">
        <v>0.3835</v>
      </c>
      <c r="D219" s="516">
        <v>0.4863</v>
      </c>
      <c r="E219" s="517">
        <v>0.6175</v>
      </c>
    </row>
    <row r="220">
      <c r="A220" s="508" t="s">
        <v>412</v>
      </c>
      <c r="B220" s="203"/>
      <c r="C220" s="260">
        <f t="shared" ref="C220:E220" si="91">((C219-B219)/B219)</f>
        <v>0.07573632539</v>
      </c>
      <c r="D220" s="260">
        <f t="shared" si="91"/>
        <v>0.2680573664</v>
      </c>
      <c r="E220" s="510">
        <f t="shared" si="91"/>
        <v>0.2697923093</v>
      </c>
    </row>
    <row r="221">
      <c r="A221" s="508" t="s">
        <v>413</v>
      </c>
      <c r="B221" s="516">
        <v>2.3249</v>
      </c>
      <c r="C221" s="516">
        <v>2.5016</v>
      </c>
      <c r="D221" s="516">
        <v>2.5482</v>
      </c>
      <c r="E221" s="517">
        <v>2.5284</v>
      </c>
    </row>
    <row r="222">
      <c r="A222" s="508" t="s">
        <v>412</v>
      </c>
      <c r="C222" s="190">
        <f t="shared" ref="C222:E222" si="92">(C221-B221)/B221</f>
        <v>0.07600326896</v>
      </c>
      <c r="D222" s="190">
        <f t="shared" si="92"/>
        <v>0.01862807803</v>
      </c>
      <c r="E222" s="511">
        <f t="shared" si="92"/>
        <v>-0.007770190723</v>
      </c>
    </row>
    <row r="223">
      <c r="A223" s="512" t="s">
        <v>414</v>
      </c>
      <c r="B223" s="513"/>
      <c r="C223" s="514">
        <f t="shared" ref="C223:E223" si="93">C220/C222</f>
        <v>0.9964877356</v>
      </c>
      <c r="D223" s="514">
        <f t="shared" si="93"/>
        <v>14.38996368</v>
      </c>
      <c r="E223" s="515">
        <f t="shared" si="93"/>
        <v>-34.72145265</v>
      </c>
    </row>
    <row r="225">
      <c r="A225" s="505" t="s">
        <v>455</v>
      </c>
      <c r="B225" s="506"/>
      <c r="C225" s="506"/>
      <c r="D225" s="506"/>
      <c r="E225" s="507"/>
    </row>
    <row r="226">
      <c r="A226" s="508" t="s">
        <v>411</v>
      </c>
      <c r="B226" s="516">
        <v>119.437</v>
      </c>
      <c r="C226" s="516">
        <v>114.301</v>
      </c>
      <c r="D226" s="516">
        <v>123.216</v>
      </c>
      <c r="E226" s="517">
        <v>133.05</v>
      </c>
    </row>
    <row r="227">
      <c r="A227" s="508" t="s">
        <v>412</v>
      </c>
      <c r="B227" s="203"/>
      <c r="C227" s="260">
        <f t="shared" ref="C227:E227" si="94">((C226-B226)/B226)</f>
        <v>-0.04300174988</v>
      </c>
      <c r="D227" s="260">
        <f t="shared" si="94"/>
        <v>0.07799581806</v>
      </c>
      <c r="E227" s="510">
        <f t="shared" si="94"/>
        <v>0.0798110635</v>
      </c>
    </row>
    <row r="228">
      <c r="A228" s="508" t="s">
        <v>413</v>
      </c>
      <c r="B228" s="516">
        <v>394.328</v>
      </c>
      <c r="C228" s="516">
        <v>383.285</v>
      </c>
      <c r="D228" s="516">
        <v>391.035</v>
      </c>
      <c r="E228" s="517">
        <v>416.161</v>
      </c>
    </row>
    <row r="229">
      <c r="A229" s="508" t="s">
        <v>412</v>
      </c>
      <c r="C229" s="190">
        <f t="shared" ref="C229:E229" si="95">(C228-B228)/B228</f>
        <v>-0.0280046053</v>
      </c>
      <c r="D229" s="190">
        <f t="shared" si="95"/>
        <v>0.02021994078</v>
      </c>
      <c r="E229" s="511">
        <f t="shared" si="95"/>
        <v>0.06425511783</v>
      </c>
    </row>
    <row r="230">
      <c r="A230" s="512" t="s">
        <v>414</v>
      </c>
      <c r="B230" s="513"/>
      <c r="C230" s="514">
        <f t="shared" ref="C230:E230" si="96">C227/C229</f>
        <v>1.535524226</v>
      </c>
      <c r="D230" s="514">
        <f t="shared" si="96"/>
        <v>3.857371242</v>
      </c>
      <c r="E230" s="515">
        <f t="shared" si="96"/>
        <v>1.242096602</v>
      </c>
    </row>
    <row r="232">
      <c r="A232" s="505" t="s">
        <v>456</v>
      </c>
      <c r="B232" s="506"/>
      <c r="C232" s="506"/>
      <c r="D232" s="506"/>
      <c r="E232" s="507"/>
    </row>
    <row r="233">
      <c r="A233" s="508" t="s">
        <v>411</v>
      </c>
      <c r="B233" s="516">
        <v>71.685</v>
      </c>
      <c r="C233" s="516">
        <v>86.025</v>
      </c>
      <c r="D233" s="516">
        <v>120.083</v>
      </c>
      <c r="E233" s="517">
        <v>152.443</v>
      </c>
    </row>
    <row r="234">
      <c r="A234" s="508" t="s">
        <v>412</v>
      </c>
      <c r="B234" s="203"/>
      <c r="C234" s="260">
        <f t="shared" ref="C234:E234" si="97">((C233-B233)/B233)</f>
        <v>0.2000418498</v>
      </c>
      <c r="D234" s="260">
        <f t="shared" si="97"/>
        <v>0.3959081662</v>
      </c>
      <c r="E234" s="510">
        <f t="shared" si="97"/>
        <v>0.2694802761</v>
      </c>
    </row>
    <row r="235">
      <c r="A235" s="508" t="s">
        <v>413</v>
      </c>
      <c r="B235" s="516">
        <v>282.836</v>
      </c>
      <c r="C235" s="516">
        <v>307.394</v>
      </c>
      <c r="D235" s="516">
        <v>350.018</v>
      </c>
      <c r="E235" s="517">
        <v>385.476</v>
      </c>
    </row>
    <row r="236">
      <c r="A236" s="508" t="s">
        <v>412</v>
      </c>
      <c r="C236" s="190">
        <f t="shared" ref="C236:E236" si="98">(C235-B235)/B235</f>
        <v>0.08682770227</v>
      </c>
      <c r="D236" s="190">
        <f t="shared" si="98"/>
        <v>0.1386624332</v>
      </c>
      <c r="E236" s="511">
        <f t="shared" si="98"/>
        <v>0.1013033615</v>
      </c>
    </row>
    <row r="237">
      <c r="A237" s="512" t="s">
        <v>414</v>
      </c>
      <c r="B237" s="513"/>
      <c r="C237" s="514">
        <f t="shared" ref="C237:E237" si="99">C234/C236</f>
        <v>2.303894316</v>
      </c>
      <c r="D237" s="514">
        <f t="shared" si="99"/>
        <v>2.855194136</v>
      </c>
      <c r="E237" s="515">
        <f t="shared" si="99"/>
        <v>2.660131629</v>
      </c>
    </row>
    <row r="239">
      <c r="A239" s="505" t="s">
        <v>448</v>
      </c>
      <c r="B239" s="506"/>
      <c r="C239" s="506"/>
      <c r="D239" s="506"/>
      <c r="E239" s="507"/>
    </row>
    <row r="240">
      <c r="A240" s="508" t="s">
        <v>411</v>
      </c>
      <c r="B240" s="516">
        <v>-0.687</v>
      </c>
      <c r="C240" s="516">
        <v>0.075</v>
      </c>
      <c r="D240" s="516">
        <v>1.302</v>
      </c>
      <c r="E240" s="517">
        <v>1.681</v>
      </c>
    </row>
    <row r="241">
      <c r="A241" s="508" t="s">
        <v>412</v>
      </c>
      <c r="B241" s="203"/>
      <c r="C241" s="260">
        <f t="shared" ref="C241:E241" si="100">((C240-B240)/B240)</f>
        <v>-1.109170306</v>
      </c>
      <c r="D241" s="260">
        <f t="shared" si="100"/>
        <v>16.36</v>
      </c>
      <c r="E241" s="510">
        <f t="shared" si="100"/>
        <v>0.2910906298</v>
      </c>
    </row>
    <row r="242">
      <c r="A242" s="508" t="s">
        <v>413</v>
      </c>
      <c r="B242" s="516">
        <v>5.6</v>
      </c>
      <c r="C242" s="516">
        <v>7.06</v>
      </c>
      <c r="D242" s="516">
        <v>8.88</v>
      </c>
      <c r="E242" s="517">
        <v>10.696</v>
      </c>
    </row>
    <row r="243">
      <c r="A243" s="508" t="s">
        <v>412</v>
      </c>
      <c r="C243" s="190">
        <f t="shared" ref="C243:E243" si="101">(C242-B242)/B242</f>
        <v>0.2607142857</v>
      </c>
      <c r="D243" s="190">
        <f t="shared" si="101"/>
        <v>0.2577903683</v>
      </c>
      <c r="E243" s="511">
        <f t="shared" si="101"/>
        <v>0.2045045045</v>
      </c>
    </row>
    <row r="244">
      <c r="A244" s="512" t="s">
        <v>414</v>
      </c>
      <c r="B244" s="513"/>
      <c r="C244" s="514">
        <f t="shared" ref="C244:E244" si="102">C241/C243</f>
        <v>-4.254351857</v>
      </c>
      <c r="D244" s="514">
        <f t="shared" si="102"/>
        <v>63.46241758</v>
      </c>
      <c r="E244" s="515">
        <f t="shared" si="102"/>
        <v>1.42339471</v>
      </c>
    </row>
    <row r="270">
      <c r="A270" s="11" t="s">
        <v>457</v>
      </c>
    </row>
    <row r="271">
      <c r="A271" s="521" t="s">
        <v>458</v>
      </c>
      <c r="B271" s="522">
        <v>2023.0</v>
      </c>
      <c r="C271" s="522">
        <v>2024.0</v>
      </c>
      <c r="D271" s="523" t="s">
        <v>408</v>
      </c>
      <c r="F271" s="521" t="s">
        <v>459</v>
      </c>
      <c r="G271" s="522">
        <v>2023.0</v>
      </c>
      <c r="H271" s="522">
        <v>2024.0</v>
      </c>
      <c r="I271" s="523" t="s">
        <v>408</v>
      </c>
    </row>
    <row r="272">
      <c r="A272" s="524" t="s">
        <v>410</v>
      </c>
      <c r="B272" s="525">
        <v>-3.1567123884546184</v>
      </c>
      <c r="C272" s="525">
        <v>5.344230690533547</v>
      </c>
      <c r="D272" s="526">
        <v>1.0500217024775362</v>
      </c>
      <c r="F272" s="524" t="s">
        <v>410</v>
      </c>
      <c r="G272" s="525">
        <v>-3.1567123884546184</v>
      </c>
      <c r="H272" s="525">
        <v>5.344230690533547</v>
      </c>
      <c r="I272" s="526">
        <v>1.0500217024775362</v>
      </c>
    </row>
    <row r="273">
      <c r="A273" s="527" t="s">
        <v>415</v>
      </c>
      <c r="B273" s="518">
        <v>-19.817073640796288</v>
      </c>
      <c r="C273" s="518">
        <v>-31.205872593761008</v>
      </c>
      <c r="D273" s="528">
        <v>2.8745420806965574</v>
      </c>
      <c r="F273" s="527" t="s">
        <v>415</v>
      </c>
      <c r="G273" s="518">
        <v>-19.817073640796288</v>
      </c>
      <c r="H273" s="518">
        <v>-31.205872593761008</v>
      </c>
      <c r="I273" s="528">
        <v>2.8745420806965574</v>
      </c>
    </row>
    <row r="274">
      <c r="A274" s="527" t="s">
        <v>416</v>
      </c>
      <c r="B274" s="518">
        <v>1.3131965328306328</v>
      </c>
      <c r="C274" s="518">
        <v>1.659951327075133</v>
      </c>
      <c r="D274" s="528">
        <v>1.633538635822721</v>
      </c>
      <c r="F274" s="527" t="s">
        <v>416</v>
      </c>
      <c r="G274" s="518">
        <v>1.3131965328306328</v>
      </c>
      <c r="H274" s="518">
        <v>1.659951327075133</v>
      </c>
      <c r="I274" s="528">
        <v>1.633538635822721</v>
      </c>
    </row>
    <row r="275">
      <c r="A275" s="527" t="s">
        <v>417</v>
      </c>
      <c r="B275" s="518">
        <v>0.315738742270428</v>
      </c>
      <c r="C275" s="518">
        <v>-11.843266043109105</v>
      </c>
      <c r="D275" s="528">
        <v>-3.509525538292246</v>
      </c>
      <c r="F275" s="527" t="s">
        <v>417</v>
      </c>
      <c r="G275" s="518">
        <v>0.315738742270428</v>
      </c>
      <c r="H275" s="518">
        <v>-11.843266043109105</v>
      </c>
      <c r="I275" s="528">
        <v>-3.509525538292246</v>
      </c>
    </row>
    <row r="276">
      <c r="A276" s="527" t="s">
        <v>418</v>
      </c>
      <c r="B276" s="518">
        <v>-0.38346009745014226</v>
      </c>
      <c r="C276" s="518">
        <v>-1.7409755744126567</v>
      </c>
      <c r="D276" s="528">
        <v>-1.5766684050412831</v>
      </c>
      <c r="F276" s="527" t="s">
        <v>418</v>
      </c>
      <c r="G276" s="518">
        <v>-0.38346009745014226</v>
      </c>
      <c r="H276" s="518">
        <v>-1.7409755744126567</v>
      </c>
      <c r="I276" s="528">
        <v>-1.5766684050412831</v>
      </c>
    </row>
    <row r="277">
      <c r="A277" s="527" t="s">
        <v>419</v>
      </c>
      <c r="B277" s="518">
        <v>1.2318449173235908</v>
      </c>
      <c r="C277" s="518">
        <v>2.0084335606302623</v>
      </c>
      <c r="D277" s="528">
        <v>2.89468414337055</v>
      </c>
      <c r="F277" s="527" t="s">
        <v>419</v>
      </c>
      <c r="G277" s="518">
        <v>1.2318449173235908</v>
      </c>
      <c r="H277" s="518">
        <v>2.0084335606302623</v>
      </c>
      <c r="I277" s="528">
        <v>2.89468414337055</v>
      </c>
    </row>
    <row r="278">
      <c r="A278" s="527" t="s">
        <v>420</v>
      </c>
      <c r="B278" s="518">
        <v>4.133068825684603</v>
      </c>
      <c r="C278" s="518">
        <v>-3.875204878966052</v>
      </c>
      <c r="D278" s="528">
        <v>-10.892694332843055</v>
      </c>
      <c r="F278" s="527" t="s">
        <v>420</v>
      </c>
      <c r="G278" s="518">
        <v>4.133068825684603</v>
      </c>
      <c r="H278" s="518">
        <v>-3.875204878966052</v>
      </c>
      <c r="I278" s="528">
        <v>-10.892694332843055</v>
      </c>
    </row>
    <row r="279">
      <c r="A279" s="527" t="s">
        <v>421</v>
      </c>
      <c r="B279" s="518">
        <v>-0.8246217218900493</v>
      </c>
      <c r="C279" s="518">
        <v>-6.345796416513736</v>
      </c>
      <c r="D279" s="528">
        <v>-8.310339918741542</v>
      </c>
      <c r="F279" s="527" t="s">
        <v>421</v>
      </c>
      <c r="G279" s="518">
        <v>-0.8246217218900493</v>
      </c>
      <c r="H279" s="518">
        <v>-6.345796416513736</v>
      </c>
      <c r="I279" s="528">
        <v>-8.310339918741542</v>
      </c>
    </row>
    <row r="280">
      <c r="A280" s="527" t="s">
        <v>422</v>
      </c>
      <c r="B280" s="518">
        <v>1.5742436541639473</v>
      </c>
      <c r="C280" s="518">
        <v>3.2769517655862153</v>
      </c>
      <c r="D280" s="528">
        <v>1.5598661341794884</v>
      </c>
      <c r="F280" s="527" t="s">
        <v>422</v>
      </c>
      <c r="G280" s="518">
        <v>1.5742436541639473</v>
      </c>
      <c r="H280" s="518">
        <v>3.2769517655862153</v>
      </c>
      <c r="I280" s="528">
        <v>1.5598661341794884</v>
      </c>
    </row>
    <row r="281">
      <c r="A281" s="527" t="s">
        <v>423</v>
      </c>
      <c r="B281" s="518">
        <v>-1.1446564673928137</v>
      </c>
      <c r="C281" s="518">
        <v>0.7476829597623553</v>
      </c>
      <c r="D281" s="528">
        <v>-0.496926228164665</v>
      </c>
      <c r="F281" s="527" t="s">
        <v>423</v>
      </c>
      <c r="G281" s="518">
        <v>-1.1446564673928137</v>
      </c>
      <c r="H281" s="518">
        <v>0.7476829597623553</v>
      </c>
      <c r="I281" s="528">
        <v>-0.496926228164665</v>
      </c>
    </row>
    <row r="282">
      <c r="A282" s="527" t="s">
        <v>424</v>
      </c>
      <c r="B282" s="518">
        <v>2.328740076304562</v>
      </c>
      <c r="C282" s="518">
        <v>-9.17048283112505</v>
      </c>
      <c r="D282" s="528">
        <v>-5.212041616413429</v>
      </c>
      <c r="F282" s="527" t="s">
        <v>424</v>
      </c>
      <c r="G282" s="518">
        <v>2.328740076304562</v>
      </c>
      <c r="H282" s="518">
        <v>-9.17048283112505</v>
      </c>
      <c r="I282" s="528">
        <v>-5.212041616413429</v>
      </c>
    </row>
    <row r="283">
      <c r="A283" s="527" t="s">
        <v>426</v>
      </c>
      <c r="B283" s="518">
        <v>-6.650764680603654</v>
      </c>
      <c r="C283" s="518">
        <v>23.516699410609082</v>
      </c>
      <c r="D283" s="528">
        <v>-1.5722151397925068</v>
      </c>
      <c r="F283" s="527" t="s">
        <v>426</v>
      </c>
      <c r="G283" s="518">
        <v>-6.650764680603654</v>
      </c>
      <c r="H283" s="518">
        <v>23.516699410609082</v>
      </c>
      <c r="I283" s="528">
        <v>-1.5722151397925068</v>
      </c>
    </row>
    <row r="284">
      <c r="A284" s="527" t="s">
        <v>428</v>
      </c>
      <c r="B284" s="518">
        <v>0.9927528024363923</v>
      </c>
      <c r="C284" s="518">
        <v>-10.389242786403068</v>
      </c>
      <c r="D284" s="528">
        <v>3.4689306112969813</v>
      </c>
      <c r="F284" s="527" t="s">
        <v>428</v>
      </c>
      <c r="G284" s="518">
        <v>0.9927528024363923</v>
      </c>
      <c r="H284" s="518">
        <v>-10.389242786403068</v>
      </c>
      <c r="I284" s="528">
        <v>3.4689306112969813</v>
      </c>
    </row>
    <row r="285">
      <c r="A285" s="527" t="s">
        <v>430</v>
      </c>
      <c r="B285" s="518">
        <v>1.267050870580415</v>
      </c>
      <c r="C285" s="518">
        <v>-5.2812301166490005</v>
      </c>
      <c r="D285" s="528">
        <v>-1.3484041018996356</v>
      </c>
      <c r="F285" s="527" t="s">
        <v>430</v>
      </c>
      <c r="G285" s="518">
        <v>1.267050870580415</v>
      </c>
      <c r="H285" s="518">
        <v>-5.2812301166490005</v>
      </c>
      <c r="I285" s="528">
        <v>-1.3484041018996356</v>
      </c>
    </row>
    <row r="286">
      <c r="A286" s="527" t="s">
        <v>432</v>
      </c>
      <c r="B286" s="518">
        <v>0.16167871238078702</v>
      </c>
      <c r="C286" s="518">
        <v>6.030475085203897</v>
      </c>
      <c r="D286" s="528">
        <v>0.38353526426584394</v>
      </c>
      <c r="F286" s="527" t="s">
        <v>432</v>
      </c>
      <c r="G286" s="518">
        <v>0.16167871238078702</v>
      </c>
      <c r="H286" s="518">
        <v>6.030475085203897</v>
      </c>
      <c r="I286" s="528">
        <v>0.38353526426584394</v>
      </c>
    </row>
    <row r="287">
      <c r="A287" s="527" t="s">
        <v>434</v>
      </c>
      <c r="C287" s="518">
        <v>11.732268697431232</v>
      </c>
      <c r="D287" s="528">
        <v>9.947825192537675</v>
      </c>
      <c r="F287" s="527" t="s">
        <v>434</v>
      </c>
      <c r="G287" s="11">
        <v>0.0</v>
      </c>
      <c r="H287" s="518">
        <v>11.732268697431232</v>
      </c>
      <c r="I287" s="528">
        <v>9.947825192537675</v>
      </c>
    </row>
    <row r="288">
      <c r="A288" s="527" t="s">
        <v>437</v>
      </c>
      <c r="B288" s="518">
        <v>1.1464968544125447</v>
      </c>
      <c r="C288" s="518">
        <v>2.79261943413729</v>
      </c>
      <c r="D288" s="528">
        <v>-3.3641690414805714</v>
      </c>
      <c r="F288" s="527" t="s">
        <v>437</v>
      </c>
      <c r="G288" s="518">
        <v>1.1464968544125447</v>
      </c>
      <c r="H288" s="518">
        <v>2.79261943413729</v>
      </c>
      <c r="I288" s="528">
        <v>-3.3641690414805714</v>
      </c>
    </row>
    <row r="289">
      <c r="A289" s="527" t="s">
        <v>439</v>
      </c>
      <c r="B289" s="518">
        <v>0.698612149085068</v>
      </c>
      <c r="C289" s="518">
        <v>1.098220332133264</v>
      </c>
      <c r="D289" s="528">
        <v>-0.16012995447492692</v>
      </c>
      <c r="F289" s="527" t="s">
        <v>439</v>
      </c>
      <c r="G289" s="518">
        <v>0.698612149085068</v>
      </c>
      <c r="H289" s="518">
        <v>1.098220332133264</v>
      </c>
      <c r="I289" s="528">
        <v>-0.16012995447492692</v>
      </c>
    </row>
    <row r="290">
      <c r="A290" s="529" t="s">
        <v>442</v>
      </c>
      <c r="B290" s="518">
        <v>3.0911109870385265</v>
      </c>
      <c r="C290" s="518">
        <v>-3.326341749158131</v>
      </c>
      <c r="D290" s="528">
        <v>-14.457968784091934</v>
      </c>
      <c r="F290" s="527"/>
      <c r="G290" s="518"/>
      <c r="H290" s="518"/>
      <c r="I290" s="528"/>
    </row>
    <row r="291">
      <c r="A291" s="529" t="s">
        <v>443</v>
      </c>
      <c r="B291" s="518">
        <v>-5.702419254056315</v>
      </c>
      <c r="C291" s="518">
        <v>10.784920430916209</v>
      </c>
      <c r="D291" s="528">
        <v>8.546192966672201</v>
      </c>
      <c r="F291" s="527"/>
      <c r="G291" s="518"/>
      <c r="H291" s="518"/>
      <c r="I291" s="528"/>
    </row>
    <row r="292">
      <c r="A292" s="529" t="s">
        <v>444</v>
      </c>
      <c r="B292" s="518">
        <v>-992.1945930448461</v>
      </c>
      <c r="C292" s="518">
        <v>-2.443814448174646</v>
      </c>
      <c r="D292" s="528">
        <v>-4.252381562599638</v>
      </c>
      <c r="F292" s="527"/>
      <c r="G292" s="518"/>
      <c r="H292" s="518"/>
      <c r="I292" s="528"/>
    </row>
    <row r="293">
      <c r="A293" s="529" t="s">
        <v>445</v>
      </c>
      <c r="B293" s="518">
        <v>5.8654913702430775</v>
      </c>
      <c r="C293" s="518">
        <v>3.8655740419098765</v>
      </c>
      <c r="D293" s="528">
        <v>3.944421770606169</v>
      </c>
      <c r="F293" s="527"/>
      <c r="G293" s="518"/>
      <c r="H293" s="518"/>
      <c r="I293" s="528"/>
    </row>
    <row r="294">
      <c r="A294" s="529" t="s">
        <v>446</v>
      </c>
      <c r="B294" s="518">
        <v>-0.5205239864519948</v>
      </c>
      <c r="C294" s="518">
        <v>3.381430653721171</v>
      </c>
      <c r="D294" s="528">
        <v>2.6380079429031853</v>
      </c>
      <c r="F294" s="527"/>
      <c r="G294" s="518"/>
      <c r="H294" s="518"/>
      <c r="I294" s="528"/>
    </row>
    <row r="295">
      <c r="A295" s="529" t="s">
        <v>447</v>
      </c>
      <c r="B295" s="518">
        <v>9.771670972316153</v>
      </c>
      <c r="C295" s="518">
        <v>2.5694851752105268</v>
      </c>
      <c r="D295" s="528">
        <v>2.92268108964232</v>
      </c>
      <c r="F295" s="527"/>
      <c r="G295" s="518"/>
      <c r="H295" s="518"/>
      <c r="I295" s="528"/>
    </row>
    <row r="296">
      <c r="A296" s="529" t="s">
        <v>448</v>
      </c>
      <c r="B296" s="518">
        <v>-4.25435185739068</v>
      </c>
      <c r="C296" s="518">
        <v>63.46241758241755</v>
      </c>
      <c r="D296" s="528">
        <v>1.423394709596217</v>
      </c>
      <c r="F296" s="527"/>
      <c r="G296" s="518"/>
      <c r="H296" s="518"/>
      <c r="I296" s="528"/>
    </row>
    <row r="297">
      <c r="A297" s="527" t="s">
        <v>440</v>
      </c>
      <c r="B297" s="518">
        <v>1.2856615835775158</v>
      </c>
      <c r="C297" s="518">
        <v>2.6597924536009923</v>
      </c>
      <c r="D297" s="528">
        <v>0.7401647609560505</v>
      </c>
      <c r="F297" s="527" t="s">
        <v>440</v>
      </c>
      <c r="G297" s="518">
        <v>1.2856615835775158</v>
      </c>
      <c r="H297" s="518">
        <v>2.6597924536009923</v>
      </c>
      <c r="I297" s="528">
        <v>0.7401647609560505</v>
      </c>
    </row>
    <row r="298">
      <c r="A298" s="527" t="s">
        <v>450</v>
      </c>
      <c r="B298" s="518">
        <v>2.4720691445704435</v>
      </c>
      <c r="C298" s="518">
        <v>3.4275588743808725</v>
      </c>
      <c r="D298" s="528">
        <v>1.7839211882276653</v>
      </c>
      <c r="F298" s="530" t="s">
        <v>264</v>
      </c>
      <c r="G298" s="531">
        <v>1.2008507636820538</v>
      </c>
      <c r="H298" s="531">
        <v>2.907292173260323</v>
      </c>
      <c r="I298" s="532">
        <v>1.3134806257684004</v>
      </c>
    </row>
    <row r="299">
      <c r="A299" s="527" t="s">
        <v>451</v>
      </c>
      <c r="B299" s="518">
        <v>-104.94614470006304</v>
      </c>
      <c r="C299" s="518">
        <v>6.76280552368177</v>
      </c>
      <c r="D299" s="528">
        <v>4.07307236828056</v>
      </c>
      <c r="F299" s="533" t="s">
        <v>460</v>
      </c>
      <c r="G299" s="534">
        <f t="shared" ref="G299:I299" si="103">AVERAGE(G272:G298)</f>
        <v>-0.7163676256</v>
      </c>
      <c r="H299" s="535">
        <f t="shared" si="103"/>
        <v>-0.8038726675</v>
      </c>
      <c r="I299" s="536">
        <f t="shared" si="103"/>
        <v>-0.5288262563</v>
      </c>
    </row>
    <row r="300">
      <c r="A300" s="527" t="s">
        <v>452</v>
      </c>
      <c r="B300" s="518">
        <v>1.2243185935135603</v>
      </c>
      <c r="C300" s="518">
        <v>1.7371059670651863</v>
      </c>
      <c r="D300" s="528">
        <v>1.8238466905397215</v>
      </c>
      <c r="F300" s="537" t="s">
        <v>461</v>
      </c>
      <c r="G300" s="538">
        <f t="shared" ref="G300:I300" si="104">median(G272:G298)</f>
        <v>0.8456824758</v>
      </c>
      <c r="H300" s="539">
        <f t="shared" si="104"/>
        <v>1.37908583</v>
      </c>
      <c r="I300" s="540">
        <f t="shared" si="104"/>
        <v>0.1117026549</v>
      </c>
    </row>
    <row r="301">
      <c r="A301" s="527" t="s">
        <v>453</v>
      </c>
      <c r="B301" s="518">
        <v>0.9316765768557834</v>
      </c>
      <c r="C301" s="518">
        <v>1.3593286140664895</v>
      </c>
      <c r="D301" s="528">
        <v>0.8838125674337038</v>
      </c>
    </row>
    <row r="302">
      <c r="A302" s="527" t="s">
        <v>454</v>
      </c>
      <c r="B302" s="518">
        <v>0.9964877356491277</v>
      </c>
      <c r="C302" s="518">
        <v>14.389963684384222</v>
      </c>
      <c r="D302" s="528">
        <v>-34.72145265112563</v>
      </c>
    </row>
    <row r="303">
      <c r="A303" s="527" t="s">
        <v>455</v>
      </c>
      <c r="B303" s="518">
        <v>1.5355242257812283</v>
      </c>
      <c r="C303" s="518">
        <v>3.8573712419189703</v>
      </c>
      <c r="D303" s="528">
        <v>1.242096601728771</v>
      </c>
    </row>
    <row r="304">
      <c r="A304" s="527" t="s">
        <v>456</v>
      </c>
      <c r="B304" s="518">
        <v>2.303894316252931</v>
      </c>
      <c r="C304" s="518">
        <v>2.85519413594065</v>
      </c>
      <c r="D304" s="528">
        <v>2.6601316288224868</v>
      </c>
    </row>
    <row r="305">
      <c r="A305" s="530" t="s">
        <v>264</v>
      </c>
      <c r="B305" s="514">
        <v>1.2008507636820538</v>
      </c>
      <c r="C305" s="514">
        <v>2.907292173260323</v>
      </c>
      <c r="D305" s="515">
        <v>1.3134806257684004</v>
      </c>
    </row>
    <row r="306">
      <c r="A306" s="541" t="s">
        <v>460</v>
      </c>
      <c r="B306" s="535">
        <f t="shared" ref="B306:D306" si="105">AVERAGE(B272:B305)</f>
        <v>-33.14403459</v>
      </c>
      <c r="C306" s="535">
        <f t="shared" si="105"/>
        <v>2.841339599</v>
      </c>
      <c r="D306" s="536">
        <f t="shared" si="105"/>
        <v>-0.9431396647</v>
      </c>
    </row>
    <row r="307">
      <c r="A307" s="542" t="s">
        <v>461</v>
      </c>
      <c r="B307" s="539">
        <f t="shared" ref="B307:D307" si="106">median(B272:B305)</f>
        <v>0.9964877356</v>
      </c>
      <c r="C307" s="539">
        <f t="shared" si="106"/>
        <v>2.614638814</v>
      </c>
      <c r="D307" s="540">
        <f t="shared" si="106"/>
        <v>1.146059152</v>
      </c>
    </row>
  </sheetData>
  <hyperlinks>
    <hyperlink r:id="rId1" ref="F73"/>
    <hyperlink r:id="rId2" ref="F80"/>
    <hyperlink r:id="rId3" ref="F87"/>
    <hyperlink r:id="rId4" ref="F94"/>
    <hyperlink r:id="rId5" ref="F101"/>
    <hyperlink r:id="rId6" ref="F108"/>
    <hyperlink r:id="rId7" ref="F115"/>
    <hyperlink r:id="rId8" ref="F130"/>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13"/>
    <col customWidth="1" min="3" max="3" width="24.88"/>
  </cols>
  <sheetData>
    <row r="2">
      <c r="B2" s="543" t="s">
        <v>462</v>
      </c>
      <c r="C2" s="543" t="s">
        <v>463</v>
      </c>
    </row>
    <row r="3">
      <c r="B3" s="544" t="s">
        <v>464</v>
      </c>
      <c r="C3" s="545">
        <v>0.62</v>
      </c>
    </row>
    <row r="4">
      <c r="B4" s="544" t="s">
        <v>465</v>
      </c>
      <c r="C4" s="545">
        <v>0.25</v>
      </c>
    </row>
    <row r="5">
      <c r="B5" s="544" t="s">
        <v>466</v>
      </c>
      <c r="C5" s="545">
        <v>0.13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3" width="18.88"/>
    <col customWidth="1" min="4" max="4" width="14.0"/>
    <col customWidth="1" min="5" max="5" width="14.38"/>
    <col customWidth="1" min="6" max="6" width="8.88"/>
  </cols>
  <sheetData>
    <row r="6">
      <c r="B6" s="546"/>
      <c r="C6" s="547" t="s">
        <v>341</v>
      </c>
      <c r="D6" s="548" t="s">
        <v>239</v>
      </c>
    </row>
    <row r="7">
      <c r="B7" s="549" t="s">
        <v>240</v>
      </c>
      <c r="C7" s="549">
        <v>1.141680295</v>
      </c>
      <c r="D7" s="550">
        <v>0.027862949</v>
      </c>
    </row>
    <row r="8">
      <c r="B8" s="549" t="s">
        <v>241</v>
      </c>
      <c r="C8" s="549">
        <v>1.154988728</v>
      </c>
      <c r="D8" s="550">
        <v>0.036793175</v>
      </c>
    </row>
    <row r="9">
      <c r="B9" s="549" t="s">
        <v>242</v>
      </c>
      <c r="C9" s="549">
        <v>1.378991633</v>
      </c>
      <c r="D9" s="550">
        <v>0.058208944</v>
      </c>
    </row>
    <row r="10">
      <c r="B10" s="549" t="s">
        <v>243</v>
      </c>
      <c r="C10" s="549">
        <v>0.968693049</v>
      </c>
      <c r="D10" s="550">
        <v>0.015430153</v>
      </c>
    </row>
    <row r="11">
      <c r="B11" s="549" t="s">
        <v>244</v>
      </c>
      <c r="C11" s="549">
        <v>0.626046325</v>
      </c>
      <c r="D11" s="550">
        <v>0.292763717</v>
      </c>
    </row>
    <row r="12">
      <c r="B12" s="549" t="s">
        <v>245</v>
      </c>
      <c r="C12" s="549">
        <v>0.99679124</v>
      </c>
      <c r="D12" s="550">
        <v>0.029990579</v>
      </c>
    </row>
    <row r="13">
      <c r="B13" s="549" t="s">
        <v>246</v>
      </c>
      <c r="C13" s="549">
        <v>0.832428083</v>
      </c>
      <c r="D13" s="550">
        <v>0.380971736</v>
      </c>
    </row>
    <row r="14">
      <c r="B14" s="549" t="s">
        <v>247</v>
      </c>
      <c r="C14" s="549">
        <v>0.976565395</v>
      </c>
      <c r="D14" s="550">
        <v>0.034746655</v>
      </c>
    </row>
    <row r="15">
      <c r="B15" s="549" t="s">
        <v>248</v>
      </c>
      <c r="C15" s="549">
        <v>1.28765916</v>
      </c>
      <c r="D15" s="550">
        <v>0.053937197</v>
      </c>
    </row>
    <row r="16">
      <c r="B16" s="549" t="s">
        <v>249</v>
      </c>
      <c r="C16" s="549">
        <v>1.063319343</v>
      </c>
      <c r="D16" s="550">
        <v>0.043367122</v>
      </c>
    </row>
    <row r="17">
      <c r="B17" s="549" t="s">
        <v>250</v>
      </c>
      <c r="C17" s="549">
        <v>0.822114646</v>
      </c>
      <c r="D17" s="550">
        <v>0.218754469</v>
      </c>
    </row>
    <row r="18">
      <c r="B18" s="549" t="s">
        <v>251</v>
      </c>
      <c r="C18" s="549">
        <v>1.064198547</v>
      </c>
      <c r="D18" s="550">
        <v>0.007636915</v>
      </c>
    </row>
    <row r="19">
      <c r="B19" s="549" t="s">
        <v>252</v>
      </c>
      <c r="C19" s="549">
        <v>0.952965539</v>
      </c>
      <c r="D19" s="550">
        <v>0.709932313</v>
      </c>
    </row>
    <row r="20">
      <c r="B20" s="549" t="s">
        <v>253</v>
      </c>
      <c r="C20" s="549">
        <v>2.109082711</v>
      </c>
      <c r="D20" s="550">
        <v>0.647181734</v>
      </c>
    </row>
    <row r="21">
      <c r="B21" s="549" t="s">
        <v>254</v>
      </c>
      <c r="C21" s="549">
        <v>1.368155565</v>
      </c>
      <c r="D21" s="550">
        <v>0.052732901</v>
      </c>
    </row>
    <row r="22">
      <c r="B22" s="549" t="s">
        <v>255</v>
      </c>
      <c r="C22" s="549">
        <v>0.910555772</v>
      </c>
      <c r="D22" s="550">
        <v>0.002483414</v>
      </c>
    </row>
    <row r="23">
      <c r="B23" s="549" t="s">
        <v>52</v>
      </c>
      <c r="C23" s="549">
        <v>0.138974586</v>
      </c>
      <c r="D23" s="550">
        <v>0.224516251</v>
      </c>
    </row>
    <row r="24">
      <c r="B24" s="549" t="s">
        <v>40</v>
      </c>
      <c r="C24" s="549">
        <v>0.727487569</v>
      </c>
      <c r="D24" s="550">
        <v>0.073530693</v>
      </c>
    </row>
    <row r="25">
      <c r="B25" s="551" t="s">
        <v>227</v>
      </c>
      <c r="C25" s="552">
        <f t="shared" ref="C25:D25" si="1">AVERAGE(C7:C24)</f>
        <v>1.028927677</v>
      </c>
      <c r="D25" s="553">
        <f t="shared" si="1"/>
        <v>0.1617133843</v>
      </c>
    </row>
  </sheetData>
  <drawing r:id="rId1"/>
</worksheet>
</file>